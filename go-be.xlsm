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P:\util\"/>
    </mc:Choice>
  </mc:AlternateContent>
  <xr:revisionPtr revIDLastSave="0" documentId="13_ncr:1_{B1C8B6EC-E2CA-44FD-B3B9-E54DF55B7BEA}" xr6:coauthVersionLast="45" xr6:coauthVersionMax="45" xr10:uidLastSave="{00000000-0000-0000-0000-000000000000}"/>
  <bookViews>
    <workbookView xWindow="12240" yWindow="1044" windowWidth="17652" windowHeight="11532" activeTab="1" xr2:uid="{5EED84AB-D93B-4AB0-AAF4-A6C07EABE44B}"/>
  </bookViews>
  <sheets>
    <sheet name="02.02" sheetId="1" r:id="rId1"/>
    <sheet name="02.05" sheetId="3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1" i="3" l="1"/>
  <c r="I12" i="3"/>
  <c r="I13" i="3"/>
  <c r="I14" i="3"/>
  <c r="I15" i="3"/>
  <c r="B7" i="1"/>
  <c r="C11" i="1"/>
  <c r="C10" i="1" s="1"/>
  <c r="C4" i="1"/>
  <c r="I16" i="3" a="1"/>
  <c r="B12" i="3" a="1"/>
  <c r="B19" i="3" a="1"/>
  <c r="I19" i="3" a="1"/>
  <c r="I9" i="3" a="1"/>
  <c r="B5" i="3" a="1"/>
  <c r="B25" i="3" a="1"/>
  <c r="I29" i="3" s="1" a="1"/>
  <c r="I23" i="3" a="1"/>
  <c r="I1" i="3" a="1"/>
  <c r="I3" i="3" a="1"/>
  <c r="I2" i="3" a="1"/>
  <c r="F11" i="1" a="1"/>
  <c r="F10" i="1" a="1"/>
  <c r="F7" i="1" a="1"/>
  <c r="F6" i="1" a="1"/>
  <c r="F4" i="1" a="1"/>
  <c r="F3" i="1" a="1"/>
  <c r="F2" i="1" a="1"/>
  <c r="F1" i="1" a="1"/>
  <c r="I16" i="3" l="1"/>
  <c r="B12" i="3"/>
  <c r="I7" i="3"/>
  <c r="I6" i="3"/>
  <c r="I5" i="3"/>
  <c r="I4" i="3"/>
  <c r="I8" i="3"/>
  <c r="I18" i="3"/>
  <c r="B19" i="3"/>
  <c r="I29" i="3"/>
  <c r="I19" i="3"/>
  <c r="I9" i="3"/>
  <c r="B5" i="3"/>
  <c r="B25" i="3"/>
  <c r="I23" i="3"/>
  <c r="I1" i="3"/>
  <c r="I3" i="3"/>
  <c r="I2" i="3"/>
  <c r="F11" i="1"/>
  <c r="F10" i="1"/>
  <c r="F7" i="1"/>
  <c r="F6" i="1"/>
  <c r="F4" i="1"/>
  <c r="F3" i="1"/>
  <c r="F2" i="1"/>
  <c r="F1" i="1"/>
  <c r="I25" i="3" a="1"/>
  <c r="I24" i="3" a="1"/>
  <c r="I26" i="3" a="1"/>
  <c r="I27" i="3" a="1"/>
  <c r="I24" i="3" l="1"/>
  <c r="I25" i="3"/>
  <c r="I26" i="3"/>
  <c r="I27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tc={797168D7-2710-4759-AE24-B898BC173650}</author>
    <author>tc={D6DEDA55-827A-4ECE-9D64-B6819131A8BA}</author>
  </authors>
  <commentList>
    <comment ref="B6" authorId="0" shapeId="0" xr:uid="{797168D7-2710-4759-AE24-B898BC173650}">
      <text>
        <t>[Threaded comment]
Your version of Excel allows you to read this threaded comment; however, any edits to it will get removed if the file is opened in a newer version of Excel. Learn more: https://go.microsoft.com/fwlink/?linkid=870924
Comment:
    https://golang.org/doc/code.html#GOPATH</t>
      </text>
    </comment>
    <comment ref="B10" authorId="1" shapeId="0" xr:uid="{D6DEDA55-827A-4ECE-9D64-B6819131A8BA}">
      <text>
        <t>[Threaded comment]
Your version of Excel allows you to read this threaded comment; however, any edits to it will get removed if the file is opened in a newer version of Excel. Learn more: https://go.microsoft.com/fwlink/?linkid=870924
Comment:
    https://golang.org/doc/code.html#Workspaces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tc={BB25B505-F6AE-42DC-982C-FEF47053AB31}</author>
    <author>tc={4938939A-20BD-48D5-84C0-283DECCCF01F}</author>
    <author>tc={67AECDF4-00F1-4F6F-B3A3-696E11FD261F}</author>
  </authors>
  <commentList>
    <comment ref="C4" authorId="0" shapeId="0" xr:uid="{BB25B505-F6AE-42DC-982C-FEF47053AB31}">
      <text>
        <t>[Threaded comment]
Your version of Excel allows you to read this threaded comment; however, any edits to it will get removed if the file is opened in a newer version of Excel. Learn more: https://go.microsoft.com/fwlink/?linkid=870924
Comment:
    / is a subtree path pattern.</t>
      </text>
    </comment>
    <comment ref="C11" authorId="1" shapeId="0" xr:uid="{4938939A-20BD-48D5-84C0-283DECCCF01F}">
      <text>
        <t>[Threaded comment]
Your version of Excel allows you to read this threaded comment; however, any edits to it will get removed if the file is opened in a newer version of Excel. Learn more: https://go.microsoft.com/fwlink/?linkid=870924
Comment:
    /snippet is a fixed-path pattern.
/snippet/ is a subtree-path pattern.</t>
      </text>
    </comment>
    <comment ref="C18" authorId="2" shapeId="0" xr:uid="{67AECDF4-00F1-4F6F-B3A3-696E11FD261F}">
      <text>
        <t>[Threaded comment]
Your version of Excel allows you to read this threaded comment; however, any edits to it will get removed if the file is opened in a newer version of Excel. Learn more: https://go.microsoft.com/fwlink/?linkid=870924
Comment:
    /snippet/create is a fixed path pattern.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<sst xmlns="http://schemas.openxmlformats.org/spreadsheetml/2006/main" count="37" uniqueCount="31">
  <si>
    <t>alexedwards.net</t>
  </si>
  <si>
    <t>snippetbox</t>
  </si>
  <si>
    <t>main.go</t>
  </si>
  <si>
    <t>module path</t>
  </si>
  <si>
    <t>EOF</t>
  </si>
  <si>
    <t>create folder</t>
  </si>
  <si>
    <t>install go</t>
  </si>
  <si>
    <t>go1.13.5.linux-amd64.tar.gz</t>
  </si>
  <si>
    <t>https://dl.google.com/go/</t>
  </si>
  <si>
    <t>/usr/local</t>
  </si>
  <si>
    <t>export path</t>
  </si>
  <si>
    <t>~/.profile</t>
  </si>
  <si>
    <t>GOPATH</t>
  </si>
  <si>
    <t>export var</t>
  </si>
  <si>
    <t>/mnt/c/Users/eastt/go</t>
  </si>
  <si>
    <t>package</t>
  </si>
  <si>
    <t>main</t>
  </si>
  <si>
    <t>import</t>
  </si>
  <si>
    <t>log</t>
  </si>
  <si>
    <t>net/http</t>
  </si>
  <si>
    <t>handlefunc</t>
  </si>
  <si>
    <t>home</t>
  </si>
  <si>
    <t>mux</t>
  </si>
  <si>
    <t>/</t>
  </si>
  <si>
    <t>:4000</t>
  </si>
  <si>
    <t>}</t>
  </si>
  <si>
    <t>src file</t>
  </si>
  <si>
    <t>showSnippet</t>
  </si>
  <si>
    <t>createSnippet</t>
  </si>
  <si>
    <t>/snippet/create</t>
  </si>
  <si>
    <t>/snippet/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</si>
</sst>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color theme="1"/>
      <name val="Tahoma"/>
      <family val="2"/>
    </font>
    <font>
      <sz val="10"/>
      <color theme="0"/>
      <name val="Tahoma"/>
      <family val="2"/>
    </font>
    <font>
      <u/>
      <sz val="10"/>
      <color theme="10"/>
      <name val="Tahoma"/>
      <family val="2"/>
    </font>
    <font>
      <sz val="10"/>
      <color rgb="FF0070C0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271038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0" fontId="3" fillId="2" borderId="1" applyNumberFormat="0" applyAlignment="0" applyProtection="0"/>
    <xf numFmtId="0" fontId="2" fillId="0" borderId="0" applyNumberFormat="0" applyFill="0" applyBorder="0" applyAlignment="0" applyProtection="0"/>
  </cellStyleXfs>
  <cellXfs count="4">
    <xf numFmtId="0" fontId="0" fillId="0" borderId="0" xfId="0"/>
    <xf numFmtId="0" fontId="1" fillId="3" borderId="0" xfId="0" applyFont="1" applyFill="1"/>
    <xf numFmtId="0" fontId="3" fillId="2" borderId="1" xfId="1"/>
    <xf numFmtId="0" fontId="2" fillId="2" borderId="1" xfId="2" applyFill="1" applyBorder="1"/>
  </cellXfs>
  <cellStyles count="3">
    <cellStyle name="Hyperlink" xfId="2" builtinId="8"/>
    <cellStyle name="Input" xfId="1" builtinId="20" customBuiltin="1"/>
    <cellStyle name="Normal" xfId="0" builtinId="0"/>
  </cellStyles>
  <dxfs count="0"/>
  <tableStyles count="0" defaultTableStyle="TableStyleMedium2" defaultPivotStyle="PivotStyleLight16"/>
  <colors>
    <mruColors>
      <color rgb="FF0000FF"/>
      <color rgb="FF9999FF"/>
      <color rgb="FF271038"/>
      <color rgb="FF2F14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joseph dong" id="{9D45CE5D-FAB0-46CE-B0A9-CC0A66ADEFC7}" userId="2450a131255d6b09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6" dT="2019-12-14T10:33:32.56" personId="{9D45CE5D-FAB0-46CE-B0A9-CC0A66ADEFC7}" id="{797168D7-2710-4759-AE24-B898BC173650}">
    <text>https://golang.org/doc/code.html#GOPATH</text>
  </threadedComment>
  <threadedComment ref="B10" dT="2019-12-14T10:33:57.64" personId="{9D45CE5D-FAB0-46CE-B0A9-CC0A66ADEFC7}" id="{D6DEDA55-827A-4ECE-9D64-B6819131A8BA}">
    <text>https://golang.org/doc/code.html#Workspaces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C4" dT="2019-12-14T15:34:19.23" personId="{9D45CE5D-FAB0-46CE-B0A9-CC0A66ADEFC7}" id="{BB25B505-F6AE-42DC-982C-FEF47053AB31}">
    <text>/ is a subtree path pattern.</text>
  </threadedComment>
  <threadedComment ref="C11" dT="2019-12-14T15:33:56.08" personId="{9D45CE5D-FAB0-46CE-B0A9-CC0A66ADEFC7}" id="{4938939A-20BD-48D5-84C0-283DECCCF01F}">
    <text>/snippet is a fixed-path pattern.
/snippet/ is a subtree-path pattern.</text>
  </threadedComment>
  <threadedComment ref="C18" dT="2019-12-14T15:34:09.12" personId="{9D45CE5D-FAB0-46CE-B0A9-CC0A66ADEFC7}" id="{67AECDF4-00F1-4F6F-B3A3-696E11FD261F}">
    <text>/snippet/create is a fixed path pattern.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l.google.com/go/" TargetMode="External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2.xml"/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4CE1DE-E6A7-4AFA-BBB7-074256D5E9C4}">
  <sheetPr codeName="Sheet1"/>
  <dimension ref="A1:F11"/>
  <sheetViews>
    <sheetView workbookViewId="0">
      <selection activeCell="F13" sqref="F13"/>
    </sheetView>
  </sheetViews>
  <sheetFormatPr defaultRowHeight="13.2" x14ac:dyDescent="0.25"/>
  <cols>
    <col min="1" max="1" width="13.6640625" style="1" customWidth="1"/>
    <col min="2" max="2" width="24.33203125" style="1" bestFit="1" customWidth="1"/>
    <col min="3" max="3" width="37" style="1" bestFit="1" customWidth="1"/>
    <col min="4" max="16384" width="8.88671875" style="1"/>
  </cols>
  <sheetData>
    <row r="1" spans="1:6" x14ac:dyDescent="0.25">
      <c r="A1" s="1" t="s">
        <v>6</v>
      </c>
      <c r="B1" s="3" t="s">
        <v>8</v>
      </c>
      <c r="F1" s="1" t="str" cm="1">
        <f t="array" ref="F1">wget(B1&amp;B2)</f>
        <v>wget https://dl.google.com/go/go1.13.5.linux-amd64.tar.gz</v>
      </c>
    </row>
    <row r="2" spans="1:6" x14ac:dyDescent="0.25">
      <c r="B2" s="2" t="s">
        <v>7</v>
      </c>
      <c r="F2" s="1" t="str" cm="1">
        <f t="array" ref="F2">chmod("u+x",B2)</f>
        <v>chmod u+x go1.13.5.linux-amd64.tar.gz</v>
      </c>
    </row>
    <row r="3" spans="1:6" x14ac:dyDescent="0.25">
      <c r="B3" s="2" t="s">
        <v>9</v>
      </c>
      <c r="F3" s="1" t="str" cm="1">
        <f t="array" ref="F3">untar(B3,B2)</f>
        <v>tar -C /usr/local -xzf go1.13.5.linux-amd64.tar.gz</v>
      </c>
    </row>
    <row r="4" spans="1:6" x14ac:dyDescent="0.25">
      <c r="A4" s="1" t="s">
        <v>10</v>
      </c>
      <c r="B4" s="2" t="s">
        <v>11</v>
      </c>
      <c r="C4" s="1" t="str">
        <f>B3 &amp; "/go/bin"</f>
        <v>/usr/local/go/bin</v>
      </c>
      <c r="F4" s="1" t="str" cm="1">
        <f t="array" ref="F4">export_path(C4,B4)</f>
        <v>echo 'export PATH=/usr/local/go/bin:$PATH' | cat &gt;&gt; ~/.profile &amp;&amp; source ~/.profile</v>
      </c>
    </row>
    <row r="6" spans="1:6" x14ac:dyDescent="0.25">
      <c r="A6" s="1" t="s">
        <v>13</v>
      </c>
      <c r="B6" s="1" t="s">
        <v>12</v>
      </c>
      <c r="C6" s="2" t="s">
        <v>14</v>
      </c>
      <c r="F6" s="1" t="str" cm="1">
        <f t="array" ref="F6">export_var(B6,C6,B4)</f>
        <v>echo 'export GOPATH=/mnt/c/Users/eastt/go' | cat &gt;&gt; ~/.profile &amp;&amp; source ~/.profile</v>
      </c>
    </row>
    <row r="7" spans="1:6" x14ac:dyDescent="0.25">
      <c r="A7" s="1" t="s">
        <v>10</v>
      </c>
      <c r="B7" s="2" t="str">
        <f>"$"&amp;B6&amp;"/bin"</f>
        <v>$GOPATH/bin</v>
      </c>
      <c r="F7" s="1" t="str" cm="1">
        <f t="array" ref="F7">export_path(B7,B4)</f>
        <v>echo 'export PATH=$GOPATH/bin:$PATH' | cat &gt;&gt; ~/.profile &amp;&amp; source ~/.profile</v>
      </c>
    </row>
    <row r="10" spans="1:6" x14ac:dyDescent="0.25">
      <c r="A10" s="1" t="s">
        <v>5</v>
      </c>
      <c r="B10" s="2" t="s">
        <v>1</v>
      </c>
      <c r="C10" s="1" t="str">
        <f>"$"&amp;B6&amp;"/src/"&amp;C11</f>
        <v>$GOPATH/src/alexedwards.net/snippetbox</v>
      </c>
      <c r="F10" s="1" t="str" cm="1">
        <f t="array" ref="F10">mkdircd(C10)</f>
        <v>mkdir -p $GOPATH/src/alexedwards.net/snippetbox &amp;&amp; cd $GOPATH/src/alexedwards.net/snippetbox</v>
      </c>
    </row>
    <row r="11" spans="1:6" x14ac:dyDescent="0.25">
      <c r="A11" s="1" t="s">
        <v>3</v>
      </c>
      <c r="B11" s="2" t="s">
        <v>0</v>
      </c>
      <c r="C11" s="1" t="str">
        <f>B11&amp;"/"&amp;B10</f>
        <v>alexedwards.net/snippetbox</v>
      </c>
      <c r="F11" s="1" t="str" cm="1">
        <f t="array" ref="F11">go_module_init(B11,B10)</f>
        <v>go mod init alexedwards.net/snippetbox</v>
      </c>
    </row>
  </sheetData>
  <dataValidations count="2">
    <dataValidation type="list" allowBlank="1" showInputMessage="1" showErrorMessage="1" sqref="B4" xr:uid="{31C60F18-5487-465B-A397-E6F7D9EF865C}">
      <formula1>"~/.profile,/etc/profile"</formula1>
    </dataValidation>
    <dataValidation type="list" allowBlank="1" showInputMessage="1" showErrorMessage="1" sqref="C6" xr:uid="{8F9A73BC-FC06-4CE0-87AB-00B4FE51A353}">
      <formula1>"/mnt/c/Users/eastt/go"</formula1>
    </dataValidation>
  </dataValidations>
  <hyperlinks>
    <hyperlink ref="B1" r:id="rId1" xr:uid="{76147743-C5FB-4A3A-8D7A-F0C66841D46E}"/>
  </hyperlinks>
  <pageMargins left="0.7" right="0.7" top="0.75" bottom="0.75" header="0.3" footer="0.3"/>
  <pageSetup paperSize="9" orientation="portrait"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801AAB-7465-4B56-9327-802488653B6C}">
  <sheetPr codeName="Sheet3"/>
  <dimension ref="A1:I31"/>
  <sheetViews>
    <sheetView tabSelected="1" workbookViewId="0">
      <selection activeCell="H1" sqref="H1"/>
    </sheetView>
  </sheetViews>
  <sheetFormatPr defaultRowHeight="13.2" x14ac:dyDescent="0.25"/>
  <cols>
    <col min="1" max="1" width="8.88671875" style="1"/>
    <col min="2" max="2" width="14.109375" style="1" customWidth="1"/>
    <col min="3" max="3" width="13.88671875" style="1" bestFit="1" customWidth="1"/>
    <col min="4" max="4" width="7.5546875" style="1" customWidth="1"/>
    <col min="5" max="5" width="23.5546875" style="1" customWidth="1"/>
    <col min="6" max="16384" width="8.88671875" style="1"/>
  </cols>
  <sheetData>
    <row r="1" spans="1:9" x14ac:dyDescent="0.25">
      <c r="A1" s="1" t="s">
        <v>26</v>
      </c>
      <c r="B1" s="2" t="s">
        <v>2</v>
      </c>
      <c r="I1" s="1" t="str" cm="1">
        <f t="array" ref="I1">write_textfile_begin(B1,FALSE)</f>
        <v>cat &lt;&lt;EOF &gt; main.go</v>
      </c>
    </row>
    <row r="2" spans="1:9" x14ac:dyDescent="0.25">
      <c r="A2" s="1" t="s">
        <v>15</v>
      </c>
      <c r="B2" s="2" t="s">
        <v>16</v>
      </c>
      <c r="I2" s="1" t="str" cm="1">
        <f t="array" ref="I2">gocode_package(B2)</f>
        <v>package main</v>
      </c>
    </row>
    <row r="3" spans="1:9" x14ac:dyDescent="0.25">
      <c r="A3" s="1" t="s">
        <v>17</v>
      </c>
      <c r="B3" s="2" t="s">
        <v>18</v>
      </c>
      <c r="C3" s="2" t="s">
        <v>19</v>
      </c>
      <c r="I3" s="1" t="str" cm="1">
        <f t="array" ref="I3">gocode_import(B3,C3)</f>
        <v>import ("log";"net/http")</v>
      </c>
    </row>
    <row r="4" spans="1:9" x14ac:dyDescent="0.25">
      <c r="A4" s="1" t="s">
        <v>20</v>
      </c>
      <c r="B4" s="2" t="s">
        <v>21</v>
      </c>
      <c r="C4" s="2" t="s">
        <v>23</v>
      </c>
      <c r="I4" s="1" t="str">
        <f>B6</f>
        <v>func home(w http.ResponseWriter, r *http.Request) {</v>
      </c>
    </row>
    <row r="5" spans="1:9" x14ac:dyDescent="0.25">
      <c r="B5" s="1" t="str" cm="1">
        <f t="array" ref="B5:B10">gocode_HandleFunc_begin(B4,C4,TRUE)</f>
        <v>mux.HandleFunc("/",home)</v>
      </c>
      <c r="I5" s="1" t="str">
        <f>B7</f>
        <v xml:space="preserve">  if r.URL.Path != "/" {</v>
      </c>
    </row>
    <row r="6" spans="1:9" x14ac:dyDescent="0.25">
      <c r="B6" s="1" t="str">
        <v>func home(w http.ResponseWriter, r *http.Request) {</v>
      </c>
      <c r="I6" s="1" t="str">
        <f>B8</f>
        <v xml:space="preserve">    http.NotFound(w, r)</v>
      </c>
    </row>
    <row r="7" spans="1:9" x14ac:dyDescent="0.25">
      <c r="B7" s="1" t="str">
        <v xml:space="preserve">  if r.URL.Path != "/" {</v>
      </c>
      <c r="I7" s="1" t="str">
        <f>B9</f>
        <v xml:space="preserve">    return</v>
      </c>
    </row>
    <row r="8" spans="1:9" x14ac:dyDescent="0.25">
      <c r="B8" s="1" t="str">
        <v xml:space="preserve">    http.NotFound(w, r)</v>
      </c>
      <c r="I8" s="1" t="str">
        <f>B10</f>
        <v xml:space="preserve">  }</v>
      </c>
    </row>
    <row r="9" spans="1:9" x14ac:dyDescent="0.25">
      <c r="B9" s="1" t="str">
        <v xml:space="preserve">    return</v>
      </c>
      <c r="I9" s="1" t="str" cm="1">
        <f t="array" ref="I9">ind(gocode_responsewrite(B4))</f>
        <v xml:space="preserve">  w.Write([]byte("home"))</v>
      </c>
    </row>
    <row r="10" spans="1:9" x14ac:dyDescent="0.25">
      <c r="B10" s="1" t="str">
        <v xml:space="preserve">  }</v>
      </c>
      <c r="I10" s="1" t="s">
        <v>25</v>
      </c>
    </row>
    <row r="11" spans="1:9" x14ac:dyDescent="0.25">
      <c r="B11" s="2" t="s">
        <v>27</v>
      </c>
      <c r="C11" s="2" t="s">
        <v>30</v>
      </c>
      <c r="I11" s="1" t="str">
        <f t="shared" ref="I11:I15" si="0">B13</f>
        <v>func showSnippet(w http.ResponseWriter, r *http.Request) {</v>
      </c>
    </row>
    <row r="12" spans="1:9" x14ac:dyDescent="0.25">
      <c r="B12" s="1" t="str" cm="1">
        <f t="array" ref="B12:B17">gocode_HandleFunc_begin(B11,C11,TRUE)</f>
        <v>mux.HandleFunc("/snippet/",showSnippet)</v>
      </c>
      <c r="I12" s="1" t="str">
        <f t="shared" si="0"/>
        <v xml:space="preserve">  if r.URL.Path != "/snippet/" {</v>
      </c>
    </row>
    <row r="13" spans="1:9" x14ac:dyDescent="0.25">
      <c r="B13" s="1" t="str">
        <v>func showSnippet(w http.ResponseWriter, r *http.Request) {</v>
      </c>
      <c r="I13" s="1" t="str">
        <f t="shared" si="0"/>
        <v xml:space="preserve">    http.NotFound(w, r)</v>
      </c>
    </row>
    <row r="14" spans="1:9" x14ac:dyDescent="0.25">
      <c r="B14" s="1" t="str">
        <v xml:space="preserve">  if r.URL.Path != "/snippet/" {</v>
      </c>
      <c r="I14" s="1" t="str">
        <f t="shared" si="0"/>
        <v xml:space="preserve">    return</v>
      </c>
    </row>
    <row r="15" spans="1:9" x14ac:dyDescent="0.25">
      <c r="B15" s="1" t="str">
        <v xml:space="preserve">    http.NotFound(w, r)</v>
      </c>
      <c r="I15" s="1" t="str">
        <f t="shared" si="0"/>
        <v xml:space="preserve">  }</v>
      </c>
    </row>
    <row r="16" spans="1:9" x14ac:dyDescent="0.25">
      <c r="B16" s="1" t="str">
        <v xml:space="preserve">    return</v>
      </c>
      <c r="I16" s="1" t="str" cm="1">
        <f t="array" ref="I16">ind(gocode_responsewrite(B11))</f>
        <v xml:space="preserve">  w.Write([]byte("showSnippet"))</v>
      </c>
    </row>
    <row r="17" spans="1:9" x14ac:dyDescent="0.25">
      <c r="B17" s="1" t="str">
        <v xml:space="preserve">  }</v>
      </c>
      <c r="I17" s="1" t="s">
        <v>25</v>
      </c>
    </row>
    <row r="18" spans="1:9" x14ac:dyDescent="0.25">
      <c r="B18" s="2" t="s">
        <v>28</v>
      </c>
      <c r="C18" s="2" t="s">
        <v>29</v>
      </c>
      <c r="I18" s="1" t="str">
        <f>B20</f>
        <v>func createSnippet(w http.ResponseWriter, r *http.Request) {</v>
      </c>
    </row>
    <row r="19" spans="1:9" x14ac:dyDescent="0.25">
      <c r="B19" s="1" t="str" cm="1">
        <f t="array" ref="B19:B20">gocode_HandleFunc_begin(B18,C18,FALSE)</f>
        <v>mux.HandleFunc("/snippet/create",createSnippet)</v>
      </c>
      <c r="I19" s="1" t="str" cm="1">
        <f t="array" ref="I19">ind(gocode_responsewrite(B18))</f>
        <v xml:space="preserve">  w.Write([]byte("createSnippet"))</v>
      </c>
    </row>
    <row r="20" spans="1:9" x14ac:dyDescent="0.25">
      <c r="B20" s="1" t="str">
        <v>func createSnippet(w http.ResponseWriter, r *http.Request) {</v>
      </c>
      <c r="I20" s="1" t="s">
        <v>25</v>
      </c>
    </row>
    <row r="23" spans="1:9" x14ac:dyDescent="0.25">
      <c r="A23" s="1" t="s">
        <v>16</v>
      </c>
      <c r="B23" s="2" t="s">
        <v>16</v>
      </c>
      <c r="I23" s="1" t="str" cm="1">
        <f t="array" ref="I23">gocode_func_begin(B23)</f>
        <v>func main(){</v>
      </c>
    </row>
    <row r="24" spans="1:9" x14ac:dyDescent="0.25">
      <c r="A24" s="1" t="s">
        <v>22</v>
      </c>
      <c r="B24" s="2" t="s">
        <v>24</v>
      </c>
      <c r="I24" s="1" t="str" cm="1">
        <f t="array" ref="I24">ind(B25)</f>
        <v xml:space="preserve">  mux := http.NewServeMux()</v>
      </c>
    </row>
    <row r="25" spans="1:9" x14ac:dyDescent="0.25">
      <c r="B25" s="1" t="str" cm="1">
        <f t="array" ref="B25:B27">gocode_mux(B24)</f>
        <v>mux := http.NewServeMux()</v>
      </c>
      <c r="I25" s="1" t="str" cm="1">
        <f t="array" ref="I25">ind(B5)</f>
        <v xml:space="preserve">  mux.HandleFunc("/",home)</v>
      </c>
    </row>
    <row r="26" spans="1:9" x14ac:dyDescent="0.25">
      <c r="B26" s="1" t="str">
        <v>...</v>
      </c>
      <c r="I26" s="1" t="str" cm="1">
        <f t="array" ref="I26">ind(B12)</f>
        <v xml:space="preserve">  mux.HandleFunc("/snippet/",showSnippet)</v>
      </c>
    </row>
    <row r="27" spans="1:9" x14ac:dyDescent="0.25">
      <c r="B27" s="1" t="str">
        <v>log.Fatal(http.ListenAndServe(":4000", mux))</v>
      </c>
      <c r="I27" s="1" t="str" cm="1">
        <f t="array" ref="I27">ind(B19)</f>
        <v xml:space="preserve">  mux.HandleFunc("/snippet/create",createSnippet)</v>
      </c>
    </row>
    <row r="29" spans="1:9" x14ac:dyDescent="0.25">
      <c r="I29" s="1" t="str" cm="1">
        <f t="array" ref="I29">ind(B27)</f>
        <v xml:space="preserve">  log.Fatal(http.ListenAndServe(":4000", mux))</v>
      </c>
    </row>
    <row r="30" spans="1:9" x14ac:dyDescent="0.25">
      <c r="I30" s="1" t="s">
        <v>25</v>
      </c>
    </row>
    <row r="31" spans="1:9" x14ac:dyDescent="0.25">
      <c r="I31" s="1" t="s">
        <v>4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02.02</vt:lpstr>
      <vt:lpstr>02.05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Joseph Dong</dc:creator>
  <cp:lastModifiedBy>Joseph Dong</cp:lastModifiedBy>
  <dcterms:created xsi:type="dcterms:W3CDTF">2019-12-14T08:12:28Z</dcterms:created>
  <dcterms:modified xsi:type="dcterms:W3CDTF">2019-12-15T07:28:24Z</dcterms:modified>
</cp:coreProperties>
</file>