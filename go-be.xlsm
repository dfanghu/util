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util\"/>
    </mc:Choice>
  </mc:AlternateContent>
  <xr:revisionPtr revIDLastSave="0" documentId="13_ncr:1_{555A5722-70D3-4065-8979-B0E67907DC07}" xr6:coauthVersionLast="45" xr6:coauthVersionMax="45" xr10:uidLastSave="{00000000-0000-0000-0000-000000000000}"/>
  <bookViews>
    <workbookView xWindow="408" yWindow="216" windowWidth="27732" windowHeight="12312" activeTab="2" xr2:uid="{5EED84AB-D93B-4AB0-AAF4-A6C07EABE44B}"/>
  </bookViews>
  <sheets>
    <sheet name="02.02" sheetId="1" r:id="rId1"/>
    <sheet name="02.07" sheetId="3" r:id="rId2"/>
    <sheet name="02.08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3" i="4" l="1"/>
  <c r="Q27" i="4"/>
  <c r="C28" i="4"/>
  <c r="Q14" i="4"/>
  <c r="Q20" i="4"/>
  <c r="Q1" i="4"/>
  <c r="I1" i="4" a="1"/>
  <c r="I2" i="4" a="1"/>
  <c r="I6" i="4" a="1"/>
  <c r="B13" i="4" a="1"/>
  <c r="J28" i="4" a="1"/>
  <c r="K29" i="4" a="1"/>
  <c r="Q15" i="4" a="1"/>
  <c r="I22" i="4" a="1"/>
  <c r="I21" i="4" a="1"/>
  <c r="I1" i="4" l="1"/>
  <c r="I2" i="4"/>
  <c r="I6" i="4"/>
  <c r="B13" i="4"/>
  <c r="J28" i="4"/>
  <c r="K29" i="4"/>
  <c r="Q15" i="4"/>
  <c r="I22" i="4"/>
  <c r="I21" i="4"/>
  <c r="F4" i="3"/>
  <c r="C1" i="3"/>
  <c r="C3" i="3"/>
  <c r="C4" i="3"/>
  <c r="B2" i="3"/>
  <c r="Q28" i="4" a="1"/>
  <c r="Q21" i="4" a="1"/>
  <c r="B13" i="3" a="1"/>
  <c r="B21" i="3" a="1"/>
  <c r="C12" i="4" a="1"/>
  <c r="K10" i="4" a="1"/>
  <c r="L8" i="4" a="1"/>
  <c r="J4" i="4" a="1"/>
  <c r="C5" i="4" a="1"/>
  <c r="L1" i="3" a="1"/>
  <c r="J1" i="3" a="1"/>
  <c r="F13" i="1" a="1"/>
  <c r="L21" i="3" a="1"/>
  <c r="L20" i="3" a="1"/>
  <c r="J15" i="3" a="1"/>
  <c r="L13" i="3" a="1"/>
  <c r="L15" i="3" a="1"/>
  <c r="D33" i="3" a="1"/>
  <c r="L3" i="3" a="1"/>
  <c r="D34" i="3" a="1"/>
  <c r="L14" i="3" a="1"/>
  <c r="L19" i="3" a="1"/>
  <c r="L18" i="3" a="1"/>
  <c r="L12" i="3" a="1"/>
  <c r="L17" i="3" a="1"/>
  <c r="D32" i="3" a="1"/>
  <c r="L39" i="3" a="1"/>
  <c r="L16" i="3" a="1"/>
  <c r="L22" i="3" a="1"/>
  <c r="Q28" i="4" l="1"/>
  <c r="Q21" i="4"/>
  <c r="B13" i="3"/>
  <c r="B21" i="3"/>
  <c r="C12" i="4"/>
  <c r="K10" i="4"/>
  <c r="L8" i="4"/>
  <c r="J4" i="4"/>
  <c r="C5" i="4"/>
  <c r="J15" i="3"/>
  <c r="L3" i="3"/>
  <c r="L21" i="3"/>
  <c r="L20" i="3"/>
  <c r="L13" i="3"/>
  <c r="L15" i="3"/>
  <c r="L14" i="3"/>
  <c r="L19" i="3"/>
  <c r="L18" i="3"/>
  <c r="L12" i="3"/>
  <c r="L17" i="3"/>
  <c r="L22" i="3"/>
  <c r="L16" i="3"/>
  <c r="D32" i="3"/>
  <c r="D34" i="3"/>
  <c r="D33" i="3"/>
  <c r="L39" i="3"/>
  <c r="L1" i="3"/>
  <c r="J1" i="3"/>
  <c r="F13" i="1"/>
  <c r="J12" i="4" a="1"/>
  <c r="J10" i="4" a="1"/>
  <c r="K7" i="4" a="1"/>
  <c r="J5" i="4" a="1"/>
  <c r="B36" i="3" a="1"/>
  <c r="L11" i="3" a="1"/>
  <c r="J12" i="4" l="1"/>
  <c r="J10" i="4"/>
  <c r="K7" i="4"/>
  <c r="J5" i="4"/>
  <c r="L11" i="3"/>
  <c r="B36" i="3"/>
  <c r="A30" i="3"/>
  <c r="A22" i="3"/>
  <c r="A14" i="3"/>
  <c r="A29" i="3"/>
  <c r="A21" i="3"/>
  <c r="A13" i="3"/>
  <c r="A8" i="3"/>
  <c r="G4" i="3"/>
  <c r="J7" i="4" a="1"/>
  <c r="I3" i="4" a="1"/>
  <c r="L10" i="3" a="1"/>
  <c r="J7" i="4" l="1"/>
  <c r="I3" i="4"/>
  <c r="L10" i="3"/>
  <c r="B7" i="1"/>
  <c r="C11" i="1"/>
  <c r="C10" i="1" s="1"/>
  <c r="C4" i="1"/>
  <c r="B8" i="3" a="1"/>
  <c r="J2" i="3" a="1"/>
  <c r="F11" i="1" a="1"/>
  <c r="L35" i="3" a="1"/>
  <c r="J5" i="3" a="1"/>
  <c r="F1" i="1" a="1"/>
  <c r="J3" i="3" a="1"/>
  <c r="L44" i="3" a="1"/>
  <c r="L31" i="3" a="1"/>
  <c r="F3" i="1" a="1"/>
  <c r="B29" i="3" a="1"/>
  <c r="L2" i="3" a="1"/>
  <c r="F10" i="1" a="1"/>
  <c r="F7" i="1" a="1"/>
  <c r="L30" i="3" a="1"/>
  <c r="F2" i="1" a="1"/>
  <c r="F6" i="1" a="1"/>
  <c r="F4" i="1" a="1"/>
  <c r="J3" i="3" l="1"/>
  <c r="L2" i="3"/>
  <c r="L44" i="3"/>
  <c r="L30" i="3"/>
  <c r="L35" i="3"/>
  <c r="L31" i="3"/>
  <c r="J5" i="3"/>
  <c r="B8" i="3"/>
  <c r="B29" i="3"/>
  <c r="J2" i="3"/>
  <c r="L27" i="3"/>
  <c r="L29" i="3"/>
  <c r="L26" i="3"/>
  <c r="L28" i="3"/>
  <c r="L25" i="3"/>
  <c r="L7" i="3"/>
  <c r="L6" i="3"/>
  <c r="L5" i="3"/>
  <c r="L4" i="3"/>
  <c r="L8" i="3"/>
  <c r="L38" i="3"/>
  <c r="F11" i="1"/>
  <c r="F10" i="1"/>
  <c r="F7" i="1"/>
  <c r="F6" i="1"/>
  <c r="F4" i="1"/>
  <c r="F3" i="1"/>
  <c r="F2" i="1"/>
  <c r="F1" i="1"/>
  <c r="J11" i="3" a="1"/>
  <c r="J9" i="3" a="1"/>
  <c r="J8" i="3" a="1"/>
  <c r="J6" i="3" a="1"/>
  <c r="J7" i="3" a="1"/>
  <c r="J11" i="3" l="1"/>
  <c r="J8" i="3"/>
  <c r="J7" i="3"/>
  <c r="J6" i="3"/>
  <c r="J9" i="3"/>
  <c r="Q2" i="4" a="1"/>
  <c r="Q2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tc={797168D7-2710-4759-AE24-B898BC173650}</author>
    <author>tc={D6DEDA55-827A-4ECE-9D64-B6819131A8BA}</author>
  </authors>
  <commentList>
    <comment ref="B6" authorId="0" shapeId="0" xr:uid="{797168D7-2710-4759-AE24-B898BC173650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https://golang.org/doc/code.html#GOPATH</t>
      </text>
    </comment>
    <comment ref="B10" authorId="1" shapeId="0" xr:uid="{D6DEDA55-827A-4ECE-9D64-B6819131A8BA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https://golang.org/doc/code.html#Workspaces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tc={F9C23421-72FC-4BAC-876B-E7FB255B4DE3}</author>
    <author>tc={BB25B505-F6AE-42DC-982C-FEF47053AB31}</author>
    <author>tc={4938939A-20BD-48D5-84C0-283DECCCF01F}</author>
    <author>tc={596C2485-A9D2-4168-8855-C9AA17D15F35}</author>
    <author>tc={67AECDF4-00F1-4F6F-B3A3-696E11FD261F}</author>
  </authors>
  <commentList>
    <comment ref="B7" authorId="0" shapeId="0" xr:uid="{F9C23421-72FC-4BAC-876B-E7FB255B4DE3}">
      <text>
        <t>[Threaded comment]
Your version of Excel allows you to read this threaded comment; however, any edits to it will get removed if the file is opened in a newer version of Excel. Learn more: https://go.microsoft.com/fwlink/?linkid=870924
Comment:
    :8080
foo.example.org/
bar.example.org/
/baz</t>
      </text>
    </comment>
    <comment ref="C12" authorId="1" shapeId="0" xr:uid="{BB25B505-F6AE-42DC-982C-FEF47053AB31}">
      <text>
        <t>[Threaded comment]
Your version of Excel allows you to read this threaded comment; however, any edits to it will get removed if the file is opened in a newer version of Excel. Learn more: https://go.microsoft.com/fwlink/?linkid=870924
Comment:
    / is a subtree path pattern.
Reply:
    Although multiple patterns can be contained in a servemux in GoLang, only the longest pattern that match a request will be dispatched.</t>
      </text>
    </comment>
    <comment ref="C20" authorId="2" shapeId="0" xr:uid="{4938939A-20BD-48D5-84C0-283DECCCF01F}">
      <text>
        <t>[Threaded comment]
Your version of Excel allows you to read this threaded comment; however, any edits to it will get removed if the file is opened in a newer version of Excel. Learn more: https://go.microsoft.com/fwlink/?linkid=870924
Comment:
    /snippet is a fixed-path pattern.
/snippet/ is a subtree-path pattern.
Reply:
    If a subtree path has been registered and a request is received for that subtree path without a trailing slash, then the user will automatically be sent a 301 Permanent Redirect to the subtree path with the slash added.</t>
      </text>
    </comment>
    <comment ref="B28" authorId="3" shapeId="0" xr:uid="{596C2485-A9D2-4168-8855-C9AA17D15F35}">
      <text>
        <t>[Threaded comment]
Your version of Excel allows you to read this threaded comment; however, any edits to it will get removed if the file is opened in a newer version of Excel. Learn more: https://go.microsoft.com/fwlink/?linkid=870924
Comment:
    Creating a new snippet is a non-idempotent action that changes the state of our server, so we should restrict it to use POST.</t>
      </text>
    </comment>
    <comment ref="C28" authorId="4" shapeId="0" xr:uid="{67AECDF4-00F1-4F6F-B3A3-696E11FD261F}">
      <text>
        <t>[Threaded comment]
Your version of Excel allows you to read this threaded comment; however, any edits to it will get removed if the file is opened in a newer version of Excel. Learn more: https://go.microsoft.com/fwlink/?linkid=870924
Comment:
    /snippet/create is a fixed path pattern.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<sst xmlns="http://schemas.openxmlformats.org/spreadsheetml/2006/main" count="120" uniqueCount="76">
  <si>
    <t>alexedwards.net</t>
  </si>
  <si>
    <t>snippetbox</t>
  </si>
  <si>
    <t>main.go</t>
  </si>
  <si>
    <t>module path</t>
  </si>
  <si>
    <t>EOF</t>
  </si>
  <si>
    <t>create folder</t>
  </si>
  <si>
    <t>install go</t>
  </si>
  <si>
    <t>go1.13.5.linux-amd64.tar.gz</t>
  </si>
  <si>
    <t>https://dl.google.com/go/</t>
  </si>
  <si>
    <t>/usr/local</t>
  </si>
  <si>
    <t>export path</t>
  </si>
  <si>
    <t>~/.profile</t>
  </si>
  <si>
    <t>GOPATH</t>
  </si>
  <si>
    <t>export var</t>
  </si>
  <si>
    <t>/mnt/c/Users/eastt/go</t>
  </si>
  <si>
    <t>package</t>
  </si>
  <si>
    <t>main</t>
  </si>
  <si>
    <t>import</t>
  </si>
  <si>
    <t>log</t>
  </si>
  <si>
    <t>net/http</t>
  </si>
  <si>
    <t>handlefunc</t>
  </si>
  <si>
    <t>home</t>
  </si>
  <si>
    <t>mux</t>
  </si>
  <si>
    <t>/</t>
  </si>
  <si>
    <t>:4000</t>
  </si>
  <si>
    <t>}</t>
  </si>
  <si>
    <t>src file</t>
  </si>
  <si>
    <t>showSnippet</t>
  </si>
  <si>
    <t>createSnippet</t>
  </si>
  <si>
    <t>/snippet/create</t>
  </si>
  <si>
    <t xml:space="preserve">    http.NotFound(w, r)</t>
  </si>
  <si>
    <t xml:space="preserve">    return</t>
  </si>
  <si>
    <t xml:space="preserve">  }</t>
  </si>
  <si>
    <t>fmt</t>
  </si>
  <si>
    <t>strconv</t>
  </si>
  <si>
    <t>/snippet</t>
  </si>
  <si>
    <t>handlers.go</t>
  </si>
  <si>
    <t>mainfunc</t>
  </si>
  <si>
    <t>cmd/web</t>
  </si>
  <si>
    <t>pkg</t>
  </si>
  <si>
    <t>ui/html</t>
  </si>
  <si>
    <t>ui/static</t>
  </si>
  <si>
    <t>dir structure</t>
  </si>
  <si>
    <t>src dir</t>
  </si>
  <si>
    <t>page</t>
  </si>
  <si>
    <t>html tmpl</t>
  </si>
  <si>
    <t>base</t>
  </si>
  <si>
    <t>layout</t>
  </si>
  <si>
    <t>footer</t>
  </si>
  <si>
    <t>partial</t>
  </si>
  <si>
    <t>text/template</t>
  </si>
  <si>
    <t>html</t>
  </si>
  <si>
    <t>lang</t>
  </si>
  <si>
    <t>en</t>
  </si>
  <si>
    <t>head</t>
  </si>
  <si>
    <t>meta</t>
  </si>
  <si>
    <t>charset</t>
  </si>
  <si>
    <t>utf-8</t>
  </si>
  <si>
    <t>title</t>
  </si>
  <si>
    <t xml:space="preserve"> - Snippetbox</t>
  </si>
  <si>
    <t>body</t>
  </si>
  <si>
    <t>header</t>
  </si>
  <si>
    <t>h1</t>
  </si>
  <si>
    <t>a</t>
  </si>
  <si>
    <t>href</t>
  </si>
  <si>
    <t>Snippetbox</t>
  </si>
  <si>
    <t>nav</t>
  </si>
  <si>
    <t xml:space="preserve"> </t>
  </si>
  <si>
    <t>Latest Snippets</t>
  </si>
  <si>
    <t>h2</t>
  </si>
  <si>
    <t>p</t>
  </si>
  <si>
    <t>There's nothing to see here yet!</t>
  </si>
  <si>
    <t>Home</t>
  </si>
  <si>
    <t>Powered by</t>
  </si>
  <si>
    <t>https://golang.org/</t>
  </si>
  <si>
    <t>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</si>
</sst>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  <font>
      <sz val="10"/>
      <color rgb="FF0070C0"/>
      <name val="Tahoma"/>
      <family val="2"/>
    </font>
    <font>
      <sz val="10"/>
      <color rgb="FFFF66FF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271038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3" borderId="0" xfId="0" applyFont="1" applyFill="1"/>
    <xf numFmtId="0" fontId="3" fillId="2" borderId="1" xfId="1"/>
    <xf numFmtId="0" fontId="2" fillId="2" borderId="1" xfId="2" applyFill="1" applyBorder="1"/>
    <xf numFmtId="0" fontId="4" fillId="3" borderId="0" xfId="0" applyFont="1" applyFill="1"/>
    <xf numFmtId="0" fontId="1" fillId="3" borderId="0" xfId="0" applyFont="1" applyFill="1" applyAlignment="1">
      <alignment horizontal="center"/>
    </xf>
    <xf numFmtId="0" fontId="2" fillId="3" borderId="0" xfId="2" applyFill="1"/>
  </cellXfs>
  <cellStyles count="3">
    <cellStyle name="Hyperlink" xfId="2" builtinId="8"/>
    <cellStyle name="Input" xfId="1" builtinId="20" customBuiltin="1"/>
    <cellStyle name="Normal" xfId="0" builtinId="0"/>
  </cellStyles>
  <dxfs count="0"/>
  <tableStyles count="0" defaultTableStyle="TableStyleMedium2" defaultPivotStyle="PivotStyleLight16"/>
  <colors>
    <mruColors>
      <color rgb="FF271038"/>
      <color rgb="FFFF66FF"/>
      <color rgb="FF0000FF"/>
      <color rgb="FF9999FF"/>
      <color rgb="FF2F1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seph dong" id="{9D45CE5D-FAB0-46CE-B0A9-CC0A66ADEFC7}" userId="2450a131255d6b0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19-12-14T10:33:32.56" personId="{9D45CE5D-FAB0-46CE-B0A9-CC0A66ADEFC7}" id="{797168D7-2710-4759-AE24-B898BC173650}">
    <text>https://golang.org/doc/code.html#GOPATH</text>
  </threadedComment>
  <threadedComment ref="B10" dT="2019-12-14T10:33:57.64" personId="{9D45CE5D-FAB0-46CE-B0A9-CC0A66ADEFC7}" id="{D6DEDA55-827A-4ECE-9D64-B6819131A8BA}">
    <text>https://golang.org/doc/code.html#Workspaces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7" dT="2019-12-15T07:40:33.65" personId="{9D45CE5D-FAB0-46CE-B0A9-CC0A66ADEFC7}" id="{F9C23421-72FC-4BAC-876B-E7FB255B4DE3}">
    <text>:8080
foo.example.org/
bar.example.org/
/baz</text>
  </threadedComment>
  <threadedComment ref="C12" dT="2019-12-14T15:34:19.23" personId="{9D45CE5D-FAB0-46CE-B0A9-CC0A66ADEFC7}" id="{BB25B505-F6AE-42DC-982C-FEF47053AB31}">
    <text>/ is a subtree path pattern.</text>
  </threadedComment>
  <threadedComment ref="C12" dT="2019-12-15T07:36:40.06" personId="{9D45CE5D-FAB0-46CE-B0A9-CC0A66ADEFC7}" id="{DDAE7C09-6891-4985-951F-EA8B9373A01E}" parentId="{BB25B505-F6AE-42DC-982C-FEF47053AB31}">
    <text>Although multiple patterns can be contained in a servemux in GoLang, only the longest pattern that match a request will be dispatched.</text>
  </threadedComment>
  <threadedComment ref="C20" dT="2019-12-14T15:33:56.08" personId="{9D45CE5D-FAB0-46CE-B0A9-CC0A66ADEFC7}" id="{4938939A-20BD-48D5-84C0-283DECCCF01F}">
    <text>/snippet is a fixed-path pattern.
/snippet/ is a subtree-path pattern.</text>
  </threadedComment>
  <threadedComment ref="C20" dT="2019-12-15T07:39:06.23" personId="{9D45CE5D-FAB0-46CE-B0A9-CC0A66ADEFC7}" id="{E048435B-6297-45FD-A4AE-DFDD5FAB468B}" parentId="{4938939A-20BD-48D5-84C0-283DECCCF01F}">
    <text>If a subtree path has been registered and a request is received for that subtree path without a trailing slash, then the user will automatically be sent a 301 Permanent Redirect to the subtree path with the slash added.</text>
  </threadedComment>
  <threadedComment ref="B28" dT="2019-12-15T09:29:39.61" personId="{9D45CE5D-FAB0-46CE-B0A9-CC0A66ADEFC7}" id="{596C2485-A9D2-4168-8855-C9AA17D15F35}">
    <text>Creating a new snippet is a non-idempotent action that changes the state of our server, so we should restrict it to use POST.</text>
  </threadedComment>
  <threadedComment ref="C28" dT="2019-12-14T15:34:09.12" personId="{9D45CE5D-FAB0-46CE-B0A9-CC0A66ADEFC7}" id="{67AECDF4-00F1-4F6F-B3A3-696E11FD261F}">
    <text>/snippet/create is a fixed path pattern.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l.google.com/go/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olang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E1DE-E6A7-4AFA-BBB7-074256D5E9C4}">
  <sheetPr codeName="Sheet1"/>
  <dimension ref="A1:F16"/>
  <sheetViews>
    <sheetView workbookViewId="0">
      <selection activeCell="F14" sqref="F14"/>
    </sheetView>
  </sheetViews>
  <sheetFormatPr defaultRowHeight="13.2" x14ac:dyDescent="0.25"/>
  <cols>
    <col min="1" max="1" width="13.6640625" style="1" customWidth="1"/>
    <col min="2" max="2" width="24.33203125" style="1" bestFit="1" customWidth="1"/>
    <col min="3" max="3" width="27.5546875" style="1" customWidth="1"/>
    <col min="4" max="16384" width="8.88671875" style="1"/>
  </cols>
  <sheetData>
    <row r="1" spans="1:6" x14ac:dyDescent="0.25">
      <c r="A1" s="1" t="s">
        <v>6</v>
      </c>
      <c r="B1" s="3" t="s">
        <v>8</v>
      </c>
      <c r="F1" s="1" t="str" cm="1">
        <f t="array" ref="F1">wget(B1&amp;B2)</f>
        <v>wget https://dl.google.com/go/go1.13.5.linux-amd64.tar.gz</v>
      </c>
    </row>
    <row r="2" spans="1:6" x14ac:dyDescent="0.25">
      <c r="B2" s="2" t="s">
        <v>7</v>
      </c>
      <c r="F2" s="1" t="str" cm="1">
        <f t="array" ref="F2">chmod("u+x",B2)</f>
        <v>chmod u+x go1.13.5.linux-amd64.tar.gz</v>
      </c>
    </row>
    <row r="3" spans="1:6" x14ac:dyDescent="0.25">
      <c r="B3" s="2" t="s">
        <v>9</v>
      </c>
      <c r="F3" s="1" t="str" cm="1">
        <f t="array" ref="F3">untar(B3,B2)</f>
        <v>tar -C /usr/local -xzf go1.13.5.linux-amd64.tar.gz</v>
      </c>
    </row>
    <row r="4" spans="1:6" x14ac:dyDescent="0.25">
      <c r="A4" s="1" t="s">
        <v>10</v>
      </c>
      <c r="B4" s="2" t="s">
        <v>11</v>
      </c>
      <c r="C4" s="1" t="str">
        <f>B3 &amp; "/go/bin"</f>
        <v>/usr/local/go/bin</v>
      </c>
      <c r="F4" s="1" t="str" cm="1">
        <f t="array" ref="F4">export_path(C4,B4)</f>
        <v>echo 'export PATH=/usr/local/go/bin:$PATH' | cat &gt;&gt; ~/.profile &amp;&amp; source ~/.profile</v>
      </c>
    </row>
    <row r="6" spans="1:6" x14ac:dyDescent="0.25">
      <c r="A6" s="1" t="s">
        <v>13</v>
      </c>
      <c r="B6" s="1" t="s">
        <v>12</v>
      </c>
      <c r="C6" s="2" t="s">
        <v>14</v>
      </c>
      <c r="F6" s="1" t="str" cm="1">
        <f t="array" ref="F6">export_var(B6,C6,B4)</f>
        <v>echo 'export GOPATH=/mnt/c/Users/eastt/go' | cat &gt;&gt; ~/.profile &amp;&amp; source ~/.profile</v>
      </c>
    </row>
    <row r="7" spans="1:6" x14ac:dyDescent="0.25">
      <c r="A7" s="1" t="s">
        <v>10</v>
      </c>
      <c r="B7" s="2" t="str">
        <f>"$"&amp;B6&amp;"/bin"</f>
        <v>$GOPATH/bin</v>
      </c>
      <c r="F7" s="1" t="str" cm="1">
        <f t="array" ref="F7">export_path(B7,B4)</f>
        <v>echo 'export PATH=$GOPATH/bin:$PATH' | cat &gt;&gt; ~/.profile &amp;&amp; source ~/.profile</v>
      </c>
    </row>
    <row r="10" spans="1:6" x14ac:dyDescent="0.25">
      <c r="A10" s="1" t="s">
        <v>5</v>
      </c>
      <c r="B10" s="2" t="s">
        <v>1</v>
      </c>
      <c r="C10" s="1" t="str">
        <f>"$"&amp;B6&amp;"/src/"&amp;C11</f>
        <v>$GOPATH/src/alexedwards.net/snippetbox</v>
      </c>
      <c r="F10" s="1" t="str" cm="1">
        <f t="array" ref="F10">mkdircd(C10)</f>
        <v>mkdir -p $GOPATH/src/alexedwards.net/snippetbox &amp;&amp; cd $GOPATH/src/alexedwards.net/snippetbox</v>
      </c>
    </row>
    <row r="11" spans="1:6" x14ac:dyDescent="0.25">
      <c r="A11" s="1" t="s">
        <v>3</v>
      </c>
      <c r="B11" s="2" t="s">
        <v>0</v>
      </c>
      <c r="C11" s="1" t="str">
        <f>B11&amp;"/"&amp;B10</f>
        <v>alexedwards.net/snippetbox</v>
      </c>
      <c r="F11" s="1" t="str" cm="1">
        <f t="array" ref="F11">go_module_init(B11,B10)</f>
        <v>go mod init alexedwards.net/snippetbox</v>
      </c>
    </row>
    <row r="13" spans="1:6" x14ac:dyDescent="0.25">
      <c r="A13" s="1" t="s">
        <v>42</v>
      </c>
      <c r="B13" s="2" t="s">
        <v>38</v>
      </c>
      <c r="F13" s="1" t="str" cm="1">
        <f t="array" ref="F13">"mkdir -p "&amp;a2s(B13:B16," ","")</f>
        <v>mkdir -p cmd/web pkg ui/html ui/static</v>
      </c>
    </row>
    <row r="14" spans="1:6" x14ac:dyDescent="0.25">
      <c r="B14" s="2" t="s">
        <v>39</v>
      </c>
    </row>
    <row r="15" spans="1:6" x14ac:dyDescent="0.25">
      <c r="B15" s="2" t="s">
        <v>40</v>
      </c>
    </row>
    <row r="16" spans="1:6" x14ac:dyDescent="0.25">
      <c r="B16" s="2" t="s">
        <v>41</v>
      </c>
    </row>
  </sheetData>
  <dataValidations count="2">
    <dataValidation type="list" allowBlank="1" showInputMessage="1" showErrorMessage="1" sqref="B4" xr:uid="{31C60F18-5487-465B-A397-E6F7D9EF865C}">
      <formula1>"~/.profile,/etc/profile"</formula1>
    </dataValidation>
    <dataValidation type="list" allowBlank="1" showInputMessage="1" showErrorMessage="1" sqref="C6" xr:uid="{8F9A73BC-FC06-4CE0-87AB-00B4FE51A353}">
      <formula1>"/mnt/c/Users/eastt/go"</formula1>
    </dataValidation>
  </dataValidations>
  <hyperlinks>
    <hyperlink ref="B1" r:id="rId1" xr:uid="{76147743-C5FB-4A3A-8D7A-F0C66841D46E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01AAB-7465-4B56-9327-802488653B6C}">
  <sheetPr codeName="Sheet3"/>
  <dimension ref="A1:L46"/>
  <sheetViews>
    <sheetView workbookViewId="0">
      <selection activeCell="J20" sqref="J20"/>
    </sheetView>
  </sheetViews>
  <sheetFormatPr defaultRowHeight="13.2" x14ac:dyDescent="0.25"/>
  <cols>
    <col min="1" max="1" width="11.6640625" style="1" customWidth="1"/>
    <col min="2" max="2" width="14.109375" style="1" customWidth="1"/>
    <col min="3" max="3" width="13.88671875" style="1" bestFit="1" customWidth="1"/>
    <col min="4" max="4" width="7.5546875" style="1" customWidth="1"/>
    <col min="5" max="5" width="7.77734375" style="1" bestFit="1" customWidth="1"/>
    <col min="6" max="8" width="8.88671875" style="1"/>
    <col min="9" max="9" width="7.21875" style="1" customWidth="1"/>
    <col min="10" max="10" width="35.21875" style="1" customWidth="1"/>
    <col min="11" max="11" width="14.33203125" style="1" customWidth="1"/>
    <col min="12" max="16384" width="8.88671875" style="1"/>
  </cols>
  <sheetData>
    <row r="1" spans="1:12" x14ac:dyDescent="0.25">
      <c r="A1" s="1" t="s">
        <v>15</v>
      </c>
      <c r="B1" s="2" t="s">
        <v>16</v>
      </c>
      <c r="C1" s="1" t="str">
        <f>"go run " &amp; B2 &amp; "/*.go"</f>
        <v>go run cmd/web/*.go</v>
      </c>
      <c r="J1" s="4" t="str" cm="1">
        <f t="array" ref="J1">write_textfile_begin(C3,FALSE)</f>
        <v>cat &lt;&lt;EOF &gt; cmd/web/main.go</v>
      </c>
      <c r="L1" s="4" t="str" cm="1">
        <f t="array" ref="L1">write_textfile_begin(C4,FALSE)</f>
        <v>cat &lt;&lt;EOF &gt; cmd/web/handlers.go</v>
      </c>
    </row>
    <row r="2" spans="1:12" x14ac:dyDescent="0.25">
      <c r="A2" s="1" t="s">
        <v>43</v>
      </c>
      <c r="B2" s="1" t="str">
        <f>'02.02'!B13</f>
        <v>cmd/web</v>
      </c>
      <c r="D2" s="5" t="s">
        <v>17</v>
      </c>
      <c r="E2" s="5"/>
      <c r="F2" s="5"/>
      <c r="J2" s="1" t="str" cm="1">
        <f t="array" ref="J2">gocode_package(B1)</f>
        <v>package main</v>
      </c>
      <c r="L2" s="1" t="str" cm="1">
        <f t="array" ref="L2">gocode_package(B1)</f>
        <v>package main</v>
      </c>
    </row>
    <row r="3" spans="1:12" x14ac:dyDescent="0.25">
      <c r="A3" s="1" t="s">
        <v>26</v>
      </c>
      <c r="B3" s="2" t="s">
        <v>2</v>
      </c>
      <c r="C3" s="1" t="str">
        <f t="shared" ref="C3:C4" si="0">$B$2&amp;"/"&amp;B3</f>
        <v>cmd/web/main.go</v>
      </c>
      <c r="D3" s="2" t="s">
        <v>18</v>
      </c>
      <c r="E3" s="2" t="s">
        <v>19</v>
      </c>
      <c r="J3" s="1" t="str" cm="1">
        <f t="array" ref="J3">gocode_import(D3,E3)</f>
        <v>import ("log";"net/http")</v>
      </c>
      <c r="L3" s="1" t="str" cm="1">
        <f t="array" ref="L3">gocode_import(D4,E4,G4,H4,F4)</f>
        <v>import ("fmt";"strconv";"net/http";"text/template";"log")</v>
      </c>
    </row>
    <row r="4" spans="1:12" x14ac:dyDescent="0.25">
      <c r="B4" s="2" t="s">
        <v>36</v>
      </c>
      <c r="C4" s="1" t="str">
        <f t="shared" si="0"/>
        <v>cmd/web/handlers.go</v>
      </c>
      <c r="D4" s="2" t="s">
        <v>33</v>
      </c>
      <c r="E4" s="2" t="s">
        <v>34</v>
      </c>
      <c r="F4" s="2" t="str">
        <f>D3</f>
        <v>log</v>
      </c>
      <c r="G4" s="2" t="str">
        <f>E3</f>
        <v>net/http</v>
      </c>
      <c r="H4" s="2" t="s">
        <v>50</v>
      </c>
      <c r="L4" s="1" t="str">
        <f>B14</f>
        <v>func home(w http.ResponseWriter, r *http.Request){</v>
      </c>
    </row>
    <row r="5" spans="1:12" x14ac:dyDescent="0.25">
      <c r="J5" s="1" t="str" cm="1">
        <f t="array" ref="J5">gocode_funcdef_begin(B6,"")</f>
        <v>func main(){</v>
      </c>
      <c r="L5" s="1" t="str">
        <f>B15</f>
        <v xml:space="preserve">  if r.URL.Path != "/" {</v>
      </c>
    </row>
    <row r="6" spans="1:12" x14ac:dyDescent="0.25">
      <c r="A6" s="1" t="s">
        <v>37</v>
      </c>
      <c r="B6" s="2" t="s">
        <v>16</v>
      </c>
      <c r="J6" s="1" t="str" cm="1">
        <f t="array" ref="J6">ind(B8)</f>
        <v xml:space="preserve">  mux := http.NewServeMux()</v>
      </c>
      <c r="L6" s="1" t="str">
        <f>B16</f>
        <v xml:space="preserve">    http.NotFound(w, r)</v>
      </c>
    </row>
    <row r="7" spans="1:12" x14ac:dyDescent="0.25">
      <c r="A7" s="1" t="s">
        <v>22</v>
      </c>
      <c r="B7" s="2" t="s">
        <v>24</v>
      </c>
      <c r="J7" s="1" t="str" cm="1">
        <f t="array" ref="J7">ind(B13)</f>
        <v xml:space="preserve">  mux.HandleFunc("/",home)</v>
      </c>
      <c r="L7" s="1" t="str">
        <f>B17</f>
        <v xml:space="preserve">    return</v>
      </c>
    </row>
    <row r="8" spans="1:12" x14ac:dyDescent="0.25">
      <c r="A8" s="1" t="str">
        <f>B3</f>
        <v>main.go</v>
      </c>
      <c r="B8" s="1" t="str" cm="1">
        <f t="array" ref="B8:B10">gocode_mux(B7)</f>
        <v>mux := http.NewServeMux()</v>
      </c>
      <c r="J8" s="1" t="str" cm="1">
        <f t="array" ref="J8">ind(B21)</f>
        <v xml:space="preserve">  mux.HandleFunc("/snippet",showSnippet)</v>
      </c>
      <c r="L8" s="1" t="str">
        <f>B18</f>
        <v xml:space="preserve">  }</v>
      </c>
    </row>
    <row r="9" spans="1:12" x14ac:dyDescent="0.25">
      <c r="B9" s="1" t="str">
        <v>...</v>
      </c>
      <c r="J9" s="1" t="str" cm="1">
        <f t="array" ref="J9">ind(B29)</f>
        <v xml:space="preserve">  mux.HandleFunc("/snippet/create",createSnippet)</v>
      </c>
    </row>
    <row r="10" spans="1:12" x14ac:dyDescent="0.25">
      <c r="B10" s="1" t="str">
        <v>log.Fatal(http.ListenAndServe(":4000",mux))</v>
      </c>
      <c r="L10" s="1" t="str" cm="1">
        <f t="array" ref="L10">ind(B36)</f>
        <v xml:space="preserve">  files := []string{"ui/html/home.page.tmpl","ui/html/base.layout.tmpl","ui/html/footer.partial.tmpl"}</v>
      </c>
    </row>
    <row r="11" spans="1:12" x14ac:dyDescent="0.25">
      <c r="J11" s="1" t="str" cm="1">
        <f t="array" ref="J11">ind(B10)</f>
        <v xml:space="preserve">  log.Fatal(http.ListenAndServe(":4000",mux))</v>
      </c>
      <c r="L11" s="1" t="str" cm="1">
        <f t="array" ref="L11">ind(B37)</f>
        <v xml:space="preserve">  </v>
      </c>
    </row>
    <row r="12" spans="1:12" x14ac:dyDescent="0.25">
      <c r="A12" s="1" t="s">
        <v>20</v>
      </c>
      <c r="B12" s="2" t="s">
        <v>21</v>
      </c>
      <c r="C12" s="2" t="s">
        <v>23</v>
      </c>
      <c r="J12" s="1" t="s">
        <v>25</v>
      </c>
      <c r="L12" s="1" t="str" cm="1">
        <f t="array" ref="L12">ind(B38)</f>
        <v xml:space="preserve">  </v>
      </c>
    </row>
    <row r="13" spans="1:12" x14ac:dyDescent="0.25">
      <c r="A13" s="1" t="str">
        <f>B3</f>
        <v>main.go</v>
      </c>
      <c r="B13" s="1" t="str" cm="1">
        <f t="array" ref="B13:B18">gocode_HandleFunc_begin(B12,C12,TRUE)</f>
        <v>mux.HandleFunc("/",home)</v>
      </c>
      <c r="J13" s="4" t="s">
        <v>4</v>
      </c>
      <c r="L13" s="1" t="str" cm="1">
        <f t="array" ref="L13">ind(B39)</f>
        <v xml:space="preserve">  </v>
      </c>
    </row>
    <row r="14" spans="1:12" x14ac:dyDescent="0.25">
      <c r="A14" s="1" t="str">
        <f>B4</f>
        <v>handlers.go</v>
      </c>
      <c r="B14" s="1" t="str">
        <v>func home(w http.ResponseWriter, r *http.Request){</v>
      </c>
      <c r="L14" s="1" t="str" cm="1">
        <f t="array" ref="L14">ind(B40)</f>
        <v xml:space="preserve">  </v>
      </c>
    </row>
    <row r="15" spans="1:12" x14ac:dyDescent="0.25">
      <c r="B15" s="1" t="str">
        <v xml:space="preserve">  if r.URL.Path != "/" {</v>
      </c>
      <c r="J15" s="1" t="str" cm="1">
        <f t="array" ref="J15:J17">gocode_htmltmpl_define("base")</f>
        <v>{{define "base"}}</v>
      </c>
      <c r="L15" s="1" t="str" cm="1">
        <f t="array" ref="L15">ind(B41)</f>
        <v xml:space="preserve">  </v>
      </c>
    </row>
    <row r="16" spans="1:12" x14ac:dyDescent="0.25">
      <c r="B16" s="1" t="str">
        <v xml:space="preserve">    http.NotFound(w, r)</v>
      </c>
      <c r="J16" s="1" t="str">
        <v>...</v>
      </c>
      <c r="L16" s="1" t="str" cm="1">
        <f t="array" ref="L16">ind(B42)</f>
        <v xml:space="preserve">  </v>
      </c>
    </row>
    <row r="17" spans="1:12" x14ac:dyDescent="0.25">
      <c r="B17" s="1" t="str">
        <v xml:space="preserve">    return</v>
      </c>
      <c r="J17" s="1" t="str">
        <v>{{end}}}</v>
      </c>
      <c r="L17" s="1" t="str" cm="1">
        <f t="array" ref="L17">ind(B43)</f>
        <v xml:space="preserve">  </v>
      </c>
    </row>
    <row r="18" spans="1:12" x14ac:dyDescent="0.25">
      <c r="B18" s="1" t="str">
        <v xml:space="preserve">  }</v>
      </c>
      <c r="L18" s="1" t="str" cm="1">
        <f t="array" ref="L18">ind(B44)</f>
        <v xml:space="preserve">  </v>
      </c>
    </row>
    <row r="19" spans="1:12" x14ac:dyDescent="0.25">
      <c r="L19" s="1" t="str" cm="1">
        <f t="array" ref="L19">ind(B45)</f>
        <v xml:space="preserve">  </v>
      </c>
    </row>
    <row r="20" spans="1:12" x14ac:dyDescent="0.25">
      <c r="A20" s="1" t="s">
        <v>20</v>
      </c>
      <c r="B20" s="2" t="s">
        <v>27</v>
      </c>
      <c r="C20" s="2" t="s">
        <v>35</v>
      </c>
      <c r="L20" s="1" t="str" cm="1">
        <f t="array" ref="L20">ind(B46)</f>
        <v xml:space="preserve">  </v>
      </c>
    </row>
    <row r="21" spans="1:12" x14ac:dyDescent="0.25">
      <c r="A21" s="1" t="str">
        <f>B3</f>
        <v>main.go</v>
      </c>
      <c r="B21" s="1" t="str" cm="1">
        <f t="array" ref="B21:B26">gocode_HandleFunc_begin(B20,C20,TRUE)</f>
        <v>mux.HandleFunc("/snippet",showSnippet)</v>
      </c>
      <c r="L21" s="1" t="str" cm="1">
        <f t="array" ref="L21">ind(B47)</f>
        <v xml:space="preserve">  </v>
      </c>
    </row>
    <row r="22" spans="1:12" x14ac:dyDescent="0.25">
      <c r="A22" s="1" t="str">
        <f>B4</f>
        <v>handlers.go</v>
      </c>
      <c r="B22" s="1" t="str">
        <v>func showSnippet(w http.ResponseWriter, r *http.Request){</v>
      </c>
      <c r="L22" s="1" t="str" cm="1">
        <f t="array" ref="L22">ind(B48)</f>
        <v xml:space="preserve">  </v>
      </c>
    </row>
    <row r="23" spans="1:12" x14ac:dyDescent="0.25">
      <c r="B23" s="1" t="str">
        <v xml:space="preserve">  if r.URL.Path != "/snippet" {</v>
      </c>
      <c r="L23" s="1" t="s">
        <v>25</v>
      </c>
    </row>
    <row r="24" spans="1:12" x14ac:dyDescent="0.25">
      <c r="B24" s="1" t="str">
        <v xml:space="preserve">    http.NotFound(w, r)</v>
      </c>
    </row>
    <row r="25" spans="1:12" x14ac:dyDescent="0.25">
      <c r="B25" s="1" t="str">
        <v xml:space="preserve">    return</v>
      </c>
      <c r="L25" s="1" t="str">
        <f>B22</f>
        <v>func showSnippet(w http.ResponseWriter, r *http.Request){</v>
      </c>
    </row>
    <row r="26" spans="1:12" x14ac:dyDescent="0.25">
      <c r="B26" s="1" t="str">
        <v xml:space="preserve">  }</v>
      </c>
      <c r="L26" s="1" t="str">
        <f>B23</f>
        <v xml:space="preserve">  if r.URL.Path != "/snippet" {</v>
      </c>
    </row>
    <row r="27" spans="1:12" x14ac:dyDescent="0.25">
      <c r="L27" s="1" t="str">
        <f>B24</f>
        <v xml:space="preserve">    http.NotFound(w, r)</v>
      </c>
    </row>
    <row r="28" spans="1:12" x14ac:dyDescent="0.25">
      <c r="A28" s="1" t="s">
        <v>20</v>
      </c>
      <c r="B28" s="2" t="s">
        <v>28</v>
      </c>
      <c r="C28" s="2" t="s">
        <v>29</v>
      </c>
      <c r="L28" s="1" t="str">
        <f>B25</f>
        <v xml:space="preserve">    return</v>
      </c>
    </row>
    <row r="29" spans="1:12" x14ac:dyDescent="0.25">
      <c r="A29" s="1" t="str">
        <f>B3</f>
        <v>main.go</v>
      </c>
      <c r="B29" s="1" t="str" cm="1">
        <f t="array" ref="B29:B30">gocode_HandleFunc_begin(B28,C28,FALSE)</f>
        <v>mux.HandleFunc("/snippet/create",createSnippet)</v>
      </c>
      <c r="L29" s="1" t="str">
        <f>B26</f>
        <v xml:space="preserve">  }</v>
      </c>
    </row>
    <row r="30" spans="1:12" x14ac:dyDescent="0.25">
      <c r="A30" s="1" t="str">
        <f>B4</f>
        <v>handlers.go</v>
      </c>
      <c r="B30" s="1" t="str">
        <v>func createSnippet(w http.ResponseWriter, r *http.Request){</v>
      </c>
      <c r="L30" s="2" t="str" cm="1">
        <f t="array" ref="L30">ind(asgn("id, err",gfc("strconv.Atoi",gocode_url_query_param("id")),":="))</f>
        <v xml:space="preserve">  id, err := strconv.Atoi(r.URL.Query().Get("id"))</v>
      </c>
    </row>
    <row r="31" spans="1:12" x14ac:dyDescent="0.25">
      <c r="L31" s="1" t="str" cm="1">
        <f t="array" ref="L31">ind(gocode_errhandler_begin("|| id &lt; 1"))</f>
        <v xml:space="preserve">  if err != nil || id &lt; 1 {</v>
      </c>
    </row>
    <row r="32" spans="1:12" x14ac:dyDescent="0.25">
      <c r="A32" s="1" t="s">
        <v>45</v>
      </c>
      <c r="B32" s="2" t="s">
        <v>21</v>
      </c>
      <c r="C32" s="2" t="s">
        <v>44</v>
      </c>
      <c r="D32" s="1" t="str" cm="1">
        <f t="array" ref="D32">go_htmltmpl_path('02.02'!$B$15,'02.07'!B32,'02.07'!C32)</f>
        <v>ui/html/home.page.tmpl</v>
      </c>
      <c r="L32" s="1" t="s">
        <v>30</v>
      </c>
    </row>
    <row r="33" spans="2:12" x14ac:dyDescent="0.25">
      <c r="B33" s="2" t="s">
        <v>46</v>
      </c>
      <c r="C33" s="2" t="s">
        <v>47</v>
      </c>
      <c r="D33" s="1" t="str" cm="1">
        <f t="array" ref="D33">go_htmltmpl_path('02.02'!$B$15,'02.07'!B33,'02.07'!C33)</f>
        <v>ui/html/base.layout.tmpl</v>
      </c>
      <c r="L33" s="1" t="s">
        <v>31</v>
      </c>
    </row>
    <row r="34" spans="2:12" x14ac:dyDescent="0.25">
      <c r="B34" s="2" t="s">
        <v>48</v>
      </c>
      <c r="C34" s="2" t="s">
        <v>49</v>
      </c>
      <c r="D34" s="1" t="str" cm="1">
        <f t="array" ref="D34">go_htmltmpl_path('02.02'!$B$15,'02.07'!B34,'02.07'!C34)</f>
        <v>ui/html/footer.partial.tmpl</v>
      </c>
      <c r="L34" s="1" t="s">
        <v>32</v>
      </c>
    </row>
    <row r="35" spans="2:12" x14ac:dyDescent="0.25">
      <c r="L35" s="1" t="str" cm="1">
        <f t="array" ref="L35">ind(gocode_fprintf("w","Display a specific snippet with ID %d…","id"))</f>
        <v xml:space="preserve">  fmt.Fprintf(w, "Display a specific snippet with ID %d…", id)</v>
      </c>
    </row>
    <row r="36" spans="2:12" x14ac:dyDescent="0.25">
      <c r="B36" s="1" t="str" cm="1">
        <f t="array" ref="B36">asgn("files",gocode_make_array("string",D32,D33,D34),":=")</f>
        <v>files := []string{"ui/html/home.page.tmpl","ui/html/base.layout.tmpl","ui/html/footer.partial.tmpl"}</v>
      </c>
      <c r="L36" s="1" t="s">
        <v>25</v>
      </c>
    </row>
    <row r="38" spans="2:12" x14ac:dyDescent="0.25">
      <c r="L38" s="1" t="str">
        <f>B30</f>
        <v>func createSnippet(w http.ResponseWriter, r *http.Request){</v>
      </c>
    </row>
    <row r="39" spans="2:12" x14ac:dyDescent="0.25">
      <c r="L39" s="1" t="str" cm="1">
        <f t="array" ref="L39:L43">gocode_http_restrict_method("post","  ")</f>
        <v xml:space="preserve">  if r.Method != http.MethodPost {</v>
      </c>
    </row>
    <row r="40" spans="2:12" x14ac:dyDescent="0.25">
      <c r="L40" s="2" t="str">
        <v xml:space="preserve">    w.Header().Set("Allow", http.MethodPost)</v>
      </c>
    </row>
    <row r="41" spans="2:12" x14ac:dyDescent="0.25">
      <c r="L41" s="1" t="str">
        <v xml:space="preserve">    http.Error(w, "Method Not Allowed", 405)</v>
      </c>
    </row>
    <row r="42" spans="2:12" x14ac:dyDescent="0.25">
      <c r="L42" s="1" t="str">
        <v xml:space="preserve">    return</v>
      </c>
    </row>
    <row r="43" spans="2:12" x14ac:dyDescent="0.25">
      <c r="L43" s="1" t="str">
        <v xml:space="preserve">  }</v>
      </c>
    </row>
    <row r="44" spans="2:12" x14ac:dyDescent="0.25">
      <c r="L44" s="1" t="str" cm="1">
        <f t="array" ref="L44">ind(gocode_responsewrite("Create a new snippet…"))</f>
        <v xml:space="preserve">  w.Write([]byte("Create a new snippet…"))</v>
      </c>
    </row>
    <row r="45" spans="2:12" x14ac:dyDescent="0.25">
      <c r="L45" s="1" t="s">
        <v>25</v>
      </c>
    </row>
    <row r="46" spans="2:12" x14ac:dyDescent="0.25">
      <c r="L46" s="4" t="s">
        <v>4</v>
      </c>
    </row>
  </sheetData>
  <mergeCells count="1">
    <mergeCell ref="D2:F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008A5-9348-4443-AA58-5F9E1A40769C}">
  <sheetPr codeName="Sheet2"/>
  <dimension ref="A1:Q33"/>
  <sheetViews>
    <sheetView tabSelected="1" workbookViewId="0">
      <selection activeCell="Q33" sqref="Q33"/>
    </sheetView>
  </sheetViews>
  <sheetFormatPr defaultRowHeight="13.2" x14ac:dyDescent="0.25"/>
  <cols>
    <col min="1" max="16384" width="8.88671875" style="1"/>
  </cols>
  <sheetData>
    <row r="1" spans="1:17" x14ac:dyDescent="0.25">
      <c r="I1" s="1" t="str" cm="1">
        <f t="array" ref="I1">html_doctype()</f>
        <v>&lt;!doctype html&gt;</v>
      </c>
      <c r="P1" s="1" t="s">
        <v>67</v>
      </c>
      <c r="Q1" s="2" t="str">
        <f>'02.07'!B33</f>
        <v>base</v>
      </c>
    </row>
    <row r="2" spans="1:17" x14ac:dyDescent="0.25">
      <c r="A2" s="2" t="s">
        <v>51</v>
      </c>
      <c r="B2" s="2" t="s">
        <v>52</v>
      </c>
      <c r="C2" s="2" t="s">
        <v>53</v>
      </c>
      <c r="I2" s="1" t="str" cm="1">
        <f t="array" ref="I2">htm(A2,_xlfn.CONCAT(I3:I6),B2,C2)</f>
        <v>&lt;html lang="en"&gt;&lt;head&gt;&lt;meta charset="utf-8"/&gt;&lt;title&gt;{{template "title" .}} - Snippetbox&lt;/title&gt;&lt;/head&gt;&lt;body&gt;&lt;header&gt;&lt;h1&gt;&lt;a href="/"&gt;Snippetbox&lt;/a&gt;&lt;/h1&gt;&lt;/header&gt;&lt;nav&gt;&lt;a href="/"&gt;home&lt;/a&gt;&lt;/nav&gt;&lt;main&gt;{{template "main" .}}&lt;/main&gt;{{template "footer" .}}&lt;/body&gt;&lt;/html&gt;</v>
      </c>
      <c r="P2" s="1" t="s">
        <v>67</v>
      </c>
      <c r="Q2" s="1" t="str" cm="1">
        <f t="array" ref="Q2:Q5">gocode_htmltmpl_define(Q1,I1:I2)</f>
        <v>{{define "base"}}</v>
      </c>
    </row>
    <row r="3" spans="1:17" x14ac:dyDescent="0.25">
      <c r="A3" s="2" t="s">
        <v>54</v>
      </c>
      <c r="I3" s="1" t="str" cm="1">
        <f t="array" ref="I3">htm(A3,_xlfn.CONCAT(J4:J5))</f>
        <v>&lt;head&gt;&lt;meta charset="utf-8"/&gt;&lt;title&gt;{{template "title" .}} - Snippetbox&lt;/title&gt;&lt;/head&gt;</v>
      </c>
      <c r="P3" s="1" t="s">
        <v>67</v>
      </c>
      <c r="Q3" s="1" t="str">
        <v>&lt;!doctype html&gt;</v>
      </c>
    </row>
    <row r="4" spans="1:17" x14ac:dyDescent="0.25">
      <c r="B4" s="2" t="s">
        <v>55</v>
      </c>
      <c r="C4" s="2" t="s">
        <v>56</v>
      </c>
      <c r="D4" s="2" t="s">
        <v>57</v>
      </c>
      <c r="J4" s="1" t="str" cm="1">
        <f t="array" ref="J4">htm(B4,"",C4,D4)</f>
        <v>&lt;meta charset="utf-8"/&gt;</v>
      </c>
      <c r="P4" s="1" t="s">
        <v>67</v>
      </c>
      <c r="Q4" s="1" t="str">
        <v>&lt;html lang="en"&gt;&lt;head&gt;&lt;meta charset="utf-8"/&gt;&lt;title&gt;{{template "title" .}} - Snippetbox&lt;/title&gt;&lt;/head&gt;&lt;body&gt;&lt;header&gt;&lt;h1&gt;&lt;a href="/"&gt;Snippetbox&lt;/a&gt;&lt;/h1&gt;&lt;/header&gt;&lt;nav&gt;&lt;a href="/"&gt;home&lt;/a&gt;&lt;/nav&gt;&lt;main&gt;{{template "main" .}}&lt;/main&gt;{{template "footer" .}}&lt;/body&gt;&lt;/html&gt;</v>
      </c>
    </row>
    <row r="5" spans="1:17" x14ac:dyDescent="0.25">
      <c r="B5" s="2" t="s">
        <v>58</v>
      </c>
      <c r="C5" s="2" t="str" cm="1">
        <f t="array" ref="C5">gocode_htmltmpl_template(B5)</f>
        <v>{{template "title" .}}</v>
      </c>
      <c r="D5" s="2" t="s">
        <v>59</v>
      </c>
      <c r="J5" s="1" t="str" cm="1">
        <f t="array" ref="J5">htm(B5,C5&amp;D5)</f>
        <v>&lt;title&gt;{{template "title" .}} - Snippetbox&lt;/title&gt;</v>
      </c>
      <c r="P5" s="1" t="s">
        <v>67</v>
      </c>
      <c r="Q5" s="1" t="str">
        <v>{{end}}}</v>
      </c>
    </row>
    <row r="6" spans="1:17" x14ac:dyDescent="0.25">
      <c r="A6" s="2" t="s">
        <v>60</v>
      </c>
      <c r="I6" s="1" t="str" cm="1">
        <f t="array" ref="I6">htm(A6,_xlfn.CONCAT(J7:J13))</f>
        <v>&lt;body&gt;&lt;header&gt;&lt;h1&gt;&lt;a href="/"&gt;Snippetbox&lt;/a&gt;&lt;/h1&gt;&lt;/header&gt;&lt;nav&gt;&lt;a href="/"&gt;home&lt;/a&gt;&lt;/nav&gt;&lt;main&gt;{{template "main" .}}&lt;/main&gt;{{template "footer" .}}&lt;/body&gt;</v>
      </c>
      <c r="P6" s="1" t="s">
        <v>67</v>
      </c>
    </row>
    <row r="7" spans="1:17" x14ac:dyDescent="0.25">
      <c r="B7" s="2" t="s">
        <v>61</v>
      </c>
      <c r="J7" s="1" t="str" cm="1">
        <f t="array" ref="J7">htm(B7,K7)</f>
        <v>&lt;header&gt;&lt;h1&gt;&lt;a href="/"&gt;Snippetbox&lt;/a&gt;&lt;/h1&gt;&lt;/header&gt;</v>
      </c>
      <c r="K7" s="1" t="str" cm="1">
        <f t="array" ref="K7">htm(C8,L8)</f>
        <v>&lt;h1&gt;&lt;a href="/"&gt;Snippetbox&lt;/a&gt;&lt;/h1&gt;</v>
      </c>
      <c r="P7" s="1" t="s">
        <v>67</v>
      </c>
    </row>
    <row r="8" spans="1:17" x14ac:dyDescent="0.25">
      <c r="C8" s="2" t="s">
        <v>62</v>
      </c>
      <c r="L8" s="1" t="str" cm="1">
        <f t="array" ref="L8">htm(D9,E9,F9,G11)</f>
        <v>&lt;a href="/"&gt;Snippetbox&lt;/a&gt;</v>
      </c>
      <c r="P8" s="1" t="s">
        <v>67</v>
      </c>
    </row>
    <row r="9" spans="1:17" x14ac:dyDescent="0.25">
      <c r="D9" s="2" t="s">
        <v>63</v>
      </c>
      <c r="E9" s="2" t="s">
        <v>65</v>
      </c>
      <c r="F9" s="2" t="s">
        <v>64</v>
      </c>
      <c r="P9" s="1" t="s">
        <v>67</v>
      </c>
    </row>
    <row r="10" spans="1:17" x14ac:dyDescent="0.25">
      <c r="B10" s="2" t="s">
        <v>66</v>
      </c>
      <c r="J10" s="1" t="str" cm="1">
        <f t="array" ref="J10">htm(B10,K10)</f>
        <v>&lt;nav&gt;&lt;a href="/"&gt;home&lt;/a&gt;&lt;/nav&gt;</v>
      </c>
      <c r="K10" s="1" t="str" cm="1">
        <f t="array" ref="K10">htm(C11,D11,E11,F11)</f>
        <v>&lt;a href="/"&gt;home&lt;/a&gt;</v>
      </c>
      <c r="P10" s="1" t="s">
        <v>67</v>
      </c>
    </row>
    <row r="11" spans="1:17" x14ac:dyDescent="0.25">
      <c r="C11" s="2" t="s">
        <v>63</v>
      </c>
      <c r="D11" s="2" t="s">
        <v>21</v>
      </c>
      <c r="E11" s="2" t="s">
        <v>64</v>
      </c>
      <c r="F11" s="2" t="s">
        <v>23</v>
      </c>
      <c r="G11" s="2" t="s">
        <v>23</v>
      </c>
      <c r="P11" s="1" t="s">
        <v>67</v>
      </c>
    </row>
    <row r="12" spans="1:17" x14ac:dyDescent="0.25">
      <c r="B12" s="2" t="s">
        <v>16</v>
      </c>
      <c r="C12" s="2" t="str" cm="1">
        <f t="array" ref="C12">gocode_htmltmpl_template(B12)</f>
        <v>{{template "main" .}}</v>
      </c>
      <c r="J12" s="1" t="str" cm="1">
        <f t="array" ref="J12">htm(B12,C12)</f>
        <v>&lt;main&gt;{{template "main" .}}&lt;/main&gt;</v>
      </c>
      <c r="P12" s="1" t="s">
        <v>67</v>
      </c>
    </row>
    <row r="13" spans="1:17" x14ac:dyDescent="0.25">
      <c r="B13" s="1" t="str" cm="1">
        <f t="array" ref="B13">gocode_htmltmpl_template(Q27)</f>
        <v>{{template "footer" .}}</v>
      </c>
      <c r="J13" s="1" t="str">
        <f>B13</f>
        <v>{{template "footer" .}}</v>
      </c>
      <c r="P13" s="1" t="s">
        <v>67</v>
      </c>
    </row>
    <row r="14" spans="1:17" x14ac:dyDescent="0.25">
      <c r="P14" s="1" t="s">
        <v>67</v>
      </c>
      <c r="Q14" s="2" t="str">
        <f>B5</f>
        <v>title</v>
      </c>
    </row>
    <row r="15" spans="1:17" x14ac:dyDescent="0.25">
      <c r="A15" s="1" t="s">
        <v>72</v>
      </c>
      <c r="P15" s="1" t="s">
        <v>67</v>
      </c>
      <c r="Q15" s="1" t="str" cm="1">
        <f t="array" ref="Q15:Q17">gocode_htmltmpl_define(Q14,A15)</f>
        <v>{{define "title"}}</v>
      </c>
    </row>
    <row r="16" spans="1:17" x14ac:dyDescent="0.25">
      <c r="P16" s="1" t="s">
        <v>67</v>
      </c>
      <c r="Q16" s="1" t="str">
        <v>Home</v>
      </c>
    </row>
    <row r="17" spans="1:17" x14ac:dyDescent="0.25">
      <c r="Q17" s="1" t="str">
        <v>{{end}}}</v>
      </c>
    </row>
    <row r="20" spans="1:17" x14ac:dyDescent="0.25">
      <c r="Q20" s="2" t="str">
        <f>B12</f>
        <v>main</v>
      </c>
    </row>
    <row r="21" spans="1:17" x14ac:dyDescent="0.25">
      <c r="A21" s="1" t="s">
        <v>69</v>
      </c>
      <c r="B21" s="1" t="s">
        <v>68</v>
      </c>
      <c r="I21" s="1" t="str" cm="1">
        <f t="array" ref="I21">htm(A21,B21)</f>
        <v>&lt;h2&gt;Latest Snippets&lt;/h2&gt;</v>
      </c>
      <c r="Q21" s="1" t="str" cm="1">
        <f t="array" ref="Q21:Q24">gocode_htmltmpl_define(Q20,I21:I22)</f>
        <v>{{define "main"}}</v>
      </c>
    </row>
    <row r="22" spans="1:17" x14ac:dyDescent="0.25">
      <c r="A22" s="1" t="s">
        <v>70</v>
      </c>
      <c r="B22" s="1" t="s">
        <v>71</v>
      </c>
      <c r="I22" s="1" t="str" cm="1">
        <f t="array" ref="I22">htm(A22,B22)</f>
        <v>&lt;p&gt;There's nothing to see here yet!&lt;/p&gt;</v>
      </c>
      <c r="Q22" s="1" t="str">
        <v>&lt;h2&gt;Latest Snippets&lt;/h2&gt;</v>
      </c>
    </row>
    <row r="23" spans="1:17" x14ac:dyDescent="0.25">
      <c r="P23" s="1" t="s">
        <v>67</v>
      </c>
      <c r="Q23" s="1" t="str">
        <v>&lt;p&gt;There's nothing to see here yet!&lt;/p&gt;</v>
      </c>
    </row>
    <row r="24" spans="1:17" x14ac:dyDescent="0.25">
      <c r="P24" s="1" t="s">
        <v>67</v>
      </c>
      <c r="Q24" s="1" t="str">
        <v>{{end}}}</v>
      </c>
    </row>
    <row r="25" spans="1:17" x14ac:dyDescent="0.25">
      <c r="P25" s="1" t="s">
        <v>67</v>
      </c>
    </row>
    <row r="26" spans="1:17" x14ac:dyDescent="0.25">
      <c r="P26" s="1" t="s">
        <v>67</v>
      </c>
    </row>
    <row r="27" spans="1:17" x14ac:dyDescent="0.25">
      <c r="P27" s="1" t="s">
        <v>67</v>
      </c>
      <c r="Q27" s="2" t="str">
        <f>'02.07'!B34</f>
        <v>footer</v>
      </c>
    </row>
    <row r="28" spans="1:17" x14ac:dyDescent="0.25">
      <c r="A28" s="1" t="s">
        <v>48</v>
      </c>
      <c r="B28" s="1" t="s">
        <v>73</v>
      </c>
      <c r="C28" s="1" t="str">
        <f>B28&amp;K29</f>
        <v>Powered by&lt;a href="https://golang.org/"&gt;go&lt;/a&gt;</v>
      </c>
      <c r="J28" s="1" t="str" cm="1">
        <f t="array" ref="J28">htm(A28,C28)</f>
        <v>&lt;footer&gt;Powered by&lt;a href="https://golang.org/"&gt;go&lt;/a&gt;&lt;/footer&gt;</v>
      </c>
      <c r="P28" s="1" t="s">
        <v>67</v>
      </c>
      <c r="Q28" s="1" t="str" cm="1">
        <f t="array" ref="Q28:Q30">gocode_htmltmpl_define(Q27,J28)</f>
        <v>{{define "footer"}}</v>
      </c>
    </row>
    <row r="29" spans="1:17" x14ac:dyDescent="0.25">
      <c r="B29" s="1" t="s">
        <v>63</v>
      </c>
      <c r="C29" s="1" t="s">
        <v>75</v>
      </c>
      <c r="D29" s="1" t="s">
        <v>64</v>
      </c>
      <c r="E29" s="6" t="s">
        <v>74</v>
      </c>
      <c r="K29" s="1" t="str" cm="1">
        <f t="array" ref="K29">htm(B29,C29,D29,E29)</f>
        <v>&lt;a href="https://golang.org/"&gt;go&lt;/a&gt;</v>
      </c>
      <c r="P29" s="1" t="s">
        <v>67</v>
      </c>
      <c r="Q29" s="1" t="str">
        <v>&lt;footer&gt;Powered by&lt;a href="https://golang.org/"&gt;go&lt;/a&gt;&lt;/footer&gt;</v>
      </c>
    </row>
    <row r="30" spans="1:17" x14ac:dyDescent="0.25">
      <c r="P30" s="1" t="s">
        <v>67</v>
      </c>
      <c r="Q30" s="1" t="str">
        <v>{{end}}}</v>
      </c>
    </row>
    <row r="31" spans="1:17" x14ac:dyDescent="0.25">
      <c r="P31" s="1" t="s">
        <v>67</v>
      </c>
    </row>
    <row r="32" spans="1:17" x14ac:dyDescent="0.25">
      <c r="P32" s="1" t="s">
        <v>67</v>
      </c>
    </row>
    <row r="33" spans="16:16" x14ac:dyDescent="0.25">
      <c r="P33" s="1" t="s">
        <v>67</v>
      </c>
    </row>
  </sheetData>
  <hyperlinks>
    <hyperlink ref="E29" r:id="rId1" xr:uid="{7E006B6C-98DC-49C1-B3B0-68D10300E64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02.02</vt:lpstr>
      <vt:lpstr>02.07</vt:lpstr>
      <vt:lpstr>02.08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Dong</dc:creator>
  <cp:lastModifiedBy>Joseph Dong</cp:lastModifiedBy>
  <dcterms:created xsi:type="dcterms:W3CDTF">2019-12-14T08:12:28Z</dcterms:created>
  <dcterms:modified xsi:type="dcterms:W3CDTF">2019-12-16T23:36:29Z</dcterms:modified>
</cp:coreProperties>
</file>