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6322DAA1-7791-4A2D-A7BE-87EEF80BB540}" xr6:coauthVersionLast="45" xr6:coauthVersionMax="45" xr10:uidLastSave="{00000000-0000-0000-0000-000000000000}"/>
  <bookViews>
    <workbookView xWindow="10056" yWindow="192" windowWidth="19836" windowHeight="12384" activeTab="1" xr2:uid="{5EED84AB-D93B-4AB0-AAF4-A6C07EABE44B}"/>
  </bookViews>
  <sheets>
    <sheet name="02.02" sheetId="1" r:id="rId1"/>
    <sheet name="02.07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3" l="1"/>
  <c r="C4" i="3"/>
  <c r="C1" i="3"/>
  <c r="B2" i="3"/>
  <c r="K1" i="3" a="1"/>
  <c r="I1" i="3" a="1"/>
  <c r="F13" i="1" a="1"/>
  <c r="K1" i="3" l="1"/>
  <c r="I1" i="3"/>
  <c r="F13" i="1"/>
  <c r="A30" i="3" l="1"/>
  <c r="A22" i="3"/>
  <c r="A14" i="3"/>
  <c r="A29" i="3"/>
  <c r="A21" i="3"/>
  <c r="A13" i="3"/>
  <c r="A8" i="3"/>
  <c r="F4" i="3"/>
  <c r="K26" i="3" a="1"/>
  <c r="K3" i="3" a="1"/>
  <c r="K26" i="3" l="1"/>
  <c r="K3" i="3"/>
  <c r="B7" i="1"/>
  <c r="C11" i="1"/>
  <c r="C10" i="1" s="1"/>
  <c r="C4" i="1"/>
  <c r="I3" i="3" a="1"/>
  <c r="K2" i="3" a="1"/>
  <c r="K31" i="3" a="1"/>
  <c r="K17" i="3" a="1"/>
  <c r="K22" i="3" a="1"/>
  <c r="K18" i="3" a="1"/>
  <c r="I5" i="3" a="1"/>
  <c r="K9" i="3" a="1"/>
  <c r="B13" i="3" a="1"/>
  <c r="B21" i="3" a="1"/>
  <c r="B8" i="3" a="1"/>
  <c r="I11" i="3" s="1" a="1"/>
  <c r="B29" i="3" a="1"/>
  <c r="I2" i="3" a="1"/>
  <c r="F11" i="1" a="1"/>
  <c r="F10" i="1" a="1"/>
  <c r="F7" i="1" a="1"/>
  <c r="F6" i="1" a="1"/>
  <c r="F4" i="1" a="1"/>
  <c r="F3" i="1" a="1"/>
  <c r="F2" i="1" a="1"/>
  <c r="F1" i="1" a="1"/>
  <c r="I3" i="3" l="1"/>
  <c r="K2" i="3"/>
  <c r="K31" i="3"/>
  <c r="I11" i="3"/>
  <c r="K17" i="3"/>
  <c r="K22" i="3"/>
  <c r="K18" i="3"/>
  <c r="I5" i="3"/>
  <c r="K9" i="3"/>
  <c r="B13" i="3"/>
  <c r="B21" i="3"/>
  <c r="B8" i="3"/>
  <c r="B29" i="3"/>
  <c r="I2" i="3"/>
  <c r="K14" i="3"/>
  <c r="K16" i="3"/>
  <c r="K13" i="3"/>
  <c r="K15" i="3"/>
  <c r="K12" i="3"/>
  <c r="K7" i="3"/>
  <c r="K6" i="3"/>
  <c r="K5" i="3"/>
  <c r="K4" i="3"/>
  <c r="K8" i="3"/>
  <c r="K25" i="3"/>
  <c r="F11" i="1"/>
  <c r="F10" i="1"/>
  <c r="F7" i="1"/>
  <c r="F6" i="1"/>
  <c r="F4" i="1"/>
  <c r="F3" i="1"/>
  <c r="F2" i="1"/>
  <c r="F1" i="1"/>
  <c r="I6" i="3" a="1"/>
  <c r="I7" i="3" a="1"/>
  <c r="I8" i="3" a="1"/>
  <c r="I9" i="3" a="1"/>
  <c r="I8" i="3" l="1"/>
  <c r="I7" i="3"/>
  <c r="I6" i="3"/>
  <c r="I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tc={F9C23421-72FC-4BAC-876B-E7FB255B4DE3}</author>
    <author>tc={BB25B505-F6AE-42DC-982C-FEF47053AB31}</author>
    <author>tc={4938939A-20BD-48D5-84C0-283DECCCF01F}</author>
    <author>tc={596C2485-A9D2-4168-8855-C9AA17D15F35}</author>
    <author>tc={67AECDF4-00F1-4F6F-B3A3-696E11FD261F}</author>
  </authors>
  <commentList>
    <comment ref="B7" authorId="0" shapeId="0" xr:uid="{F9C23421-72FC-4BAC-876B-E7FB255B4DE3}">
      <text>
        <t>[Threaded comment]
Your version of Excel allows you to read this threaded comment; however, any edits to it will get removed if the file is opened in a newer version of Excel. Learn more: https://go.microsoft.com/fwlink/?linkid=870924
Comment:
    :8080
foo.example.org/
bar.example.org/
/baz</t>
      </text>
    </comment>
    <comment ref="C12" authorId="1" shapeId="0" xr:uid="{BB25B505-F6AE-42DC-982C-FEF47053AB31}">
      <text>
        <t>[Threaded comment]
Your version of Excel allows you to read this threaded comment; however, any edits to it will get removed if the file is opened in a newer version of Excel. Learn more: https://go.microsoft.com/fwlink/?linkid=870924
Comment:
    / is a subtree path pattern.
Reply:
    Although multiple patterns can be contained in a servemux in GoLang, only the longest pattern that match a request will be dispatched.</t>
      </text>
    </comment>
    <comment ref="C20" authorId="2" shapeId="0" xr:uid="{4938939A-20BD-48D5-84C0-283DECCCF0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 is a fixed-path pattern.
/snippet/ is a subtree-path pattern.
Reply:
    If a subtree path has been registered and a request is received for that subtree path without a trailing slash, then the user will automatically be sent a 301 Permanent Redirect to the subtree path with the slash added.</t>
      </text>
    </comment>
    <comment ref="B28" authorId="3" shapeId="0" xr:uid="{596C2485-A9D2-4168-8855-C9AA17D15F35}">
      <text>
        <t>[Threaded comment]
Your version of Excel allows you to read this threaded comment; however, any edits to it will get removed if the file is opened in a newer version of Excel. Learn more: https://go.microsoft.com/fwlink/?linkid=870924
Comment:
    Creating a new snippet is a non-idempotent action that changes the state of our server, so we should restrict it to use POST.</t>
      </text>
    </comment>
    <comment ref="C28" authorId="4" shapeId="0" xr:uid="{67AECDF4-00F1-4F6F-B3A3-696E11FD26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/snippet/create is a fixed path pattern.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<sst xmlns="http://schemas.openxmlformats.org/spreadsheetml/2006/main" count="50" uniqueCount="44">
  <si>
    <t>alexedwards.net</t>
  </si>
  <si>
    <t>snippetbox</t>
  </si>
  <si>
    <t>main.go</t>
  </si>
  <si>
    <t>module path</t>
  </si>
  <si>
    <t>EOF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</si>
  <si>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</si>
  <si>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</si>
  <si>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</si>
  <si>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</si>
  <si>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</si>
  <si>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</si>
  <si>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</si>
  <si>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</si>
  <si>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</si>
  <si>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</si>
  <si>
    <t>package</t>
  </si>
  <si>
    <t>main</t>
  </si>
  <si>
    <t>import</t>
  </si>
  <si>
    <t>log</t>
  </si>
  <si>
    <t>net/http</t>
  </si>
  <si>
    <t>handlefunc</t>
  </si>
  <si>
    <t>home</t>
  </si>
  <si>
    <t>mux</t>
  </si>
  <si>
    <t>/</t>
  </si>
  <si>
    <t>:4000</t>
  </si>
  <si>
    <t>}</t>
  </si>
  <si>
    <t>src file</t>
  </si>
  <si>
    <t>showSnippet</t>
  </si>
  <si>
    <t>createSnippet</t>
  </si>
  <si>
    <t>/snippet/create</t>
  </si>
  <si>
    <t xml:space="preserve">    http.NotFound(w, r)</t>
  </si>
  <si>
    <t xml:space="preserve">    return</t>
  </si>
  <si>
    <t xml:space="preserve">  }</t>
  </si>
  <si>
    <t>fmt</t>
  </si>
  <si>
    <t>strconv</t>
  </si>
  <si>
    <t>/snippet</t>
  </si>
  <si>
    <t>handlers.go</t>
  </si>
  <si>
    <t>mainfunc</t>
  </si>
  <si>
    <t>cmd/web</t>
  </si>
  <si>
    <t>pkg</t>
  </si>
  <si>
    <t>ui/html</t>
  </si>
  <si>
    <t>ui/static</t>
  </si>
  <si>
    <t>dir structure</t>
  </si>
  <si>
    <t>src 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</si>
</sst>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sz val="9"/>
      <color indexed="81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  <font>
      <sz val="9"/>
      <color indexed="81"/>
      <name val="Tahoma"/>
      <charset val="1"/>
    </font>
    <font>
      <sz val="10"/>
      <color rgb="FFFF66FF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3" borderId="0" xfId="0" applyFont="1" applyFill="1"/>
    <xf numFmtId="0" fontId="4" fillId="2" borderId="1" xfId="1"/>
    <xf numFmtId="0" fontId="3" fillId="2" borderId="1" xfId="2" applyFill="1" applyBorder="1"/>
    <xf numFmtId="0" fontId="6" fillId="3" borderId="0" xfId="0" applyFont="1" applyFill="1"/>
    <xf numFmtId="0" fontId="1" fillId="3" borderId="0" xfId="0" applyFont="1" applyFill="1" applyAlignment="1">
      <alignment horizontal="center"/>
    </xf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271038"/>
      <color rgb="FFFF66FF"/>
      <color rgb="FF0000FF"/>
      <color rgb="FF9999FF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19-12-15T07:40:33.65" personId="{9D45CE5D-FAB0-46CE-B0A9-CC0A66ADEFC7}" id="{F9C23421-72FC-4BAC-876B-E7FB255B4DE3}">
    <text>:8080
foo.example.org/
bar.example.org/
/baz</text>
  </threadedComment>
  <threadedComment ref="C12" dT="2019-12-14T15:34:19.23" personId="{9D45CE5D-FAB0-46CE-B0A9-CC0A66ADEFC7}" id="{BB25B505-F6AE-42DC-982C-FEF47053AB31}">
    <text>/ is a subtree path pattern.</text>
  </threadedComment>
  <threadedComment ref="C12" dT="2019-12-15T07:36:40.06" personId="{9D45CE5D-FAB0-46CE-B0A9-CC0A66ADEFC7}" id="{DDAE7C09-6891-4985-951F-EA8B9373A01E}" parentId="{BB25B505-F6AE-42DC-982C-FEF47053AB31}">
    <text>Although multiple patterns can be contained in a servemux in GoLang, only the longest pattern that match a request will be dispatched.</text>
  </threadedComment>
  <threadedComment ref="C20" dT="2019-12-14T15:33:56.08" personId="{9D45CE5D-FAB0-46CE-B0A9-CC0A66ADEFC7}" id="{4938939A-20BD-48D5-84C0-283DECCCF01F}">
    <text>/snippet is a fixed-path pattern.
/snippet/ is a subtree-path pattern.</text>
  </threadedComment>
  <threadedComment ref="C20" dT="2019-12-15T07:39:06.23" personId="{9D45CE5D-FAB0-46CE-B0A9-CC0A66ADEFC7}" id="{E048435B-6297-45FD-A4AE-DFDD5FAB468B}" parentId="{4938939A-20BD-48D5-84C0-283DECCCF01F}">
    <text>If a subtree path has been registered and a request is received for that subtree path without a trailing slash, then the user will automatically be sent a 301 Permanent Redirect to the subtree path with the slash added.</text>
  </threadedComment>
  <threadedComment ref="B28" dT="2019-12-15T09:29:39.61" personId="{9D45CE5D-FAB0-46CE-B0A9-CC0A66ADEFC7}" id="{596C2485-A9D2-4168-8855-C9AA17D15F35}">
    <text>Creating a new snippet is a non-idempotent action that changes the state of our server, so we should restrict it to use POST.</text>
  </threadedComment>
  <threadedComment ref="C28" dT="2019-12-14T15:34:09.12" personId="{9D45CE5D-FAB0-46CE-B0A9-CC0A66ADEFC7}" id="{67AECDF4-00F1-4F6F-B3A3-696E11FD261F}">
    <text>/snippet/create is a fixed path pattern.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6"/>
  <sheetViews>
    <sheetView workbookViewId="0">
      <selection activeCell="F14" sqref="F14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27.5546875" style="1" customWidth="1"/>
    <col min="4" max="16384" width="8.88671875" style="1"/>
  </cols>
  <sheetData>
    <row r="1" spans="1:6" x14ac:dyDescent="0.25">
      <c r="A1" s="1" t="s">
        <v>6</v>
      </c>
      <c r="B1" s="3" t="s">
        <v>8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7</v>
      </c>
      <c r="F2" s="1" t="str" cm="1">
        <f t="array" ref="F2">chmod("u+x",B2)</f>
        <v>chmod u+x go1.13.5.linux-amd64.tar.gz</v>
      </c>
    </row>
    <row r="3" spans="1:6" x14ac:dyDescent="0.25">
      <c r="B3" s="2" t="s">
        <v>9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10</v>
      </c>
      <c r="B4" s="2" t="s">
        <v>11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13</v>
      </c>
      <c r="B6" s="1" t="s">
        <v>12</v>
      </c>
      <c r="C6" s="2" t="s">
        <v>14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10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5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3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  <row r="13" spans="1:6" x14ac:dyDescent="0.25">
      <c r="A13" s="1" t="s">
        <v>42</v>
      </c>
      <c r="B13" s="2" t="s">
        <v>38</v>
      </c>
      <c r="F13" s="1" t="str" cm="1">
        <f t="array" ref="F13">"mkdir -p "&amp;a2s(B13:B16," ","")</f>
        <v>mkdir -p cmd/web pkg ui/html ui/static</v>
      </c>
    </row>
    <row r="14" spans="1:6" x14ac:dyDescent="0.25">
      <c r="B14" s="2" t="s">
        <v>39</v>
      </c>
    </row>
    <row r="15" spans="1:6" x14ac:dyDescent="0.25">
      <c r="B15" s="2" t="s">
        <v>40</v>
      </c>
    </row>
    <row r="16" spans="1:6" x14ac:dyDescent="0.25">
      <c r="B16" s="2" t="s">
        <v>41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1AAB-7465-4B56-9327-802488653B6C}">
  <sheetPr codeName="Sheet3"/>
  <dimension ref="A1:K33"/>
  <sheetViews>
    <sheetView tabSelected="1" workbookViewId="0">
      <selection activeCell="G7" sqref="G7"/>
    </sheetView>
  </sheetViews>
  <sheetFormatPr defaultRowHeight="13.2" x14ac:dyDescent="0.25"/>
  <cols>
    <col min="1" max="1" width="11.6640625" style="1" customWidth="1"/>
    <col min="2" max="2" width="14.109375" style="1" customWidth="1"/>
    <col min="3" max="3" width="13.88671875" style="1" bestFit="1" customWidth="1"/>
    <col min="4" max="4" width="7.5546875" style="1" customWidth="1"/>
    <col min="5" max="5" width="7.77734375" style="1" bestFit="1" customWidth="1"/>
    <col min="6" max="8" width="8.88671875" style="1"/>
    <col min="9" max="9" width="44.33203125" style="1" bestFit="1" customWidth="1"/>
    <col min="10" max="10" width="13.44140625" style="1" customWidth="1"/>
    <col min="11" max="11" width="52.88671875" style="1" bestFit="1" customWidth="1"/>
    <col min="12" max="16384" width="8.88671875" style="1"/>
  </cols>
  <sheetData>
    <row r="1" spans="1:11" x14ac:dyDescent="0.25">
      <c r="A1" s="1" t="s">
        <v>15</v>
      </c>
      <c r="B1" s="2" t="s">
        <v>16</v>
      </c>
      <c r="C1" s="1" t="str">
        <f>"go run " &amp; B2 &amp; "/*.go"</f>
        <v>go run cmd/web/*.go</v>
      </c>
      <c r="I1" s="4" t="str" cm="1">
        <f t="array" ref="I1">write_textfile_begin(C3,FALSE)</f>
        <v>cat &lt;&lt;EOF &gt; cmd/web/main.go</v>
      </c>
      <c r="K1" s="4" t="str" cm="1">
        <f t="array" ref="K1">write_textfile_begin(C4,FALSE)</f>
        <v>cat &lt;&lt;EOF &gt; cmd/web/handlers.go</v>
      </c>
    </row>
    <row r="2" spans="1:11" x14ac:dyDescent="0.25">
      <c r="A2" s="1" t="s">
        <v>43</v>
      </c>
      <c r="B2" s="1" t="str">
        <f>'02.02'!B13</f>
        <v>cmd/web</v>
      </c>
      <c r="D2" s="5" t="s">
        <v>17</v>
      </c>
      <c r="E2" s="5"/>
      <c r="F2" s="5"/>
      <c r="I2" s="1" t="str" cm="1">
        <f t="array" ref="I2">gocode_package(B1)</f>
        <v>package main</v>
      </c>
      <c r="K2" s="1" t="str" cm="1">
        <f t="array" ref="K2">gocode_package(B1)</f>
        <v>package main</v>
      </c>
    </row>
    <row r="3" spans="1:11" x14ac:dyDescent="0.25">
      <c r="A3" s="1" t="s">
        <v>26</v>
      </c>
      <c r="B3" s="2" t="s">
        <v>2</v>
      </c>
      <c r="C3" s="1" t="str">
        <f t="shared" ref="C3:C4" si="0">$B$2&amp;"/"&amp;B3</f>
        <v>cmd/web/main.go</v>
      </c>
      <c r="D3" s="2" t="s">
        <v>18</v>
      </c>
      <c r="E3" s="2" t="s">
        <v>19</v>
      </c>
      <c r="I3" s="1" t="str" cm="1">
        <f t="array" ref="I3">gocode_import(D3,E3)</f>
        <v>import ("log";"net/http")</v>
      </c>
      <c r="K3" s="1" t="str" cm="1">
        <f t="array" ref="K3">gocode_import(D4,E4,F4)</f>
        <v>import ("fmt";"strconv";"net/http")</v>
      </c>
    </row>
    <row r="4" spans="1:11" x14ac:dyDescent="0.25">
      <c r="B4" s="2" t="s">
        <v>36</v>
      </c>
      <c r="C4" s="1" t="str">
        <f t="shared" si="0"/>
        <v>cmd/web/handlers.go</v>
      </c>
      <c r="D4" s="2" t="s">
        <v>33</v>
      </c>
      <c r="E4" s="2" t="s">
        <v>34</v>
      </c>
      <c r="F4" s="2" t="str">
        <f>E3</f>
        <v>net/http</v>
      </c>
      <c r="K4" s="1" t="str">
        <f>B14</f>
        <v>func home(w http.ResponseWriter, r *http.Request){</v>
      </c>
    </row>
    <row r="5" spans="1:11" x14ac:dyDescent="0.25">
      <c r="I5" s="1" t="str" cm="1">
        <f t="array" ref="I5">gocode_funcdef_begin(B6,"")</f>
        <v>func main(){</v>
      </c>
      <c r="K5" s="1" t="str">
        <f>B15</f>
        <v xml:space="preserve">  if r.URL.Path != "/" {</v>
      </c>
    </row>
    <row r="6" spans="1:11" x14ac:dyDescent="0.25">
      <c r="A6" s="1" t="s">
        <v>37</v>
      </c>
      <c r="B6" s="2" t="s">
        <v>16</v>
      </c>
      <c r="I6" s="1" t="str" cm="1">
        <f t="array" ref="I6">ind(B8)</f>
        <v xml:space="preserve">  mux := http.NewServeMux()</v>
      </c>
      <c r="K6" s="1" t="str">
        <f>B16</f>
        <v xml:space="preserve">    http.NotFound(w, r)</v>
      </c>
    </row>
    <row r="7" spans="1:11" x14ac:dyDescent="0.25">
      <c r="A7" s="1" t="s">
        <v>22</v>
      </c>
      <c r="B7" s="2" t="s">
        <v>24</v>
      </c>
      <c r="I7" s="1" t="str" cm="1">
        <f t="array" ref="I7">ind(B13)</f>
        <v xml:space="preserve">  mux.HandleFunc("/",home)</v>
      </c>
      <c r="K7" s="1" t="str">
        <f>B17</f>
        <v xml:space="preserve">    return</v>
      </c>
    </row>
    <row r="8" spans="1:11" x14ac:dyDescent="0.25">
      <c r="A8" s="1" t="str">
        <f>B3</f>
        <v>main.go</v>
      </c>
      <c r="B8" s="1" t="str" cm="1">
        <f t="array" ref="B8:B10">gocode_mux(B7)</f>
        <v>mux := http.NewServeMux()</v>
      </c>
      <c r="I8" s="1" t="str" cm="1">
        <f t="array" ref="I8">ind(B21)</f>
        <v xml:space="preserve">  mux.HandleFunc("/snippet",showSnippet)</v>
      </c>
      <c r="K8" s="1" t="str">
        <f>B18</f>
        <v xml:space="preserve">  }</v>
      </c>
    </row>
    <row r="9" spans="1:11" x14ac:dyDescent="0.25">
      <c r="B9" s="1" t="str">
        <v>...</v>
      </c>
      <c r="I9" s="1" t="str" cm="1">
        <f t="array" ref="I9">ind(B29)</f>
        <v xml:space="preserve">  mux.HandleFunc("/snippet/create",createSnippet)</v>
      </c>
      <c r="K9" s="1" t="str" cm="1">
        <f t="array" ref="K9">ind(gocode_responsewrite(B12))</f>
        <v xml:space="preserve">  w.Write([]byte("home"))</v>
      </c>
    </row>
    <row r="10" spans="1:11" x14ac:dyDescent="0.25">
      <c r="B10" s="1" t="str">
        <v>log.Fatal(http.ListenAndServe(":4000",mux))</v>
      </c>
      <c r="K10" s="1" t="s">
        <v>25</v>
      </c>
    </row>
    <row r="11" spans="1:11" x14ac:dyDescent="0.25">
      <c r="I11" s="1" t="str" cm="1">
        <f t="array" ref="I11">ind(B10)</f>
        <v xml:space="preserve">  log.Fatal(http.ListenAndServe(":4000",mux))</v>
      </c>
    </row>
    <row r="12" spans="1:11" x14ac:dyDescent="0.25">
      <c r="A12" s="1" t="s">
        <v>20</v>
      </c>
      <c r="B12" s="2" t="s">
        <v>21</v>
      </c>
      <c r="C12" s="2" t="s">
        <v>23</v>
      </c>
      <c r="I12" s="1" t="s">
        <v>25</v>
      </c>
      <c r="K12" s="1" t="str">
        <f>B22</f>
        <v>func showSnippet(w http.ResponseWriter, r *http.Request){</v>
      </c>
    </row>
    <row r="13" spans="1:11" x14ac:dyDescent="0.25">
      <c r="A13" s="1" t="str">
        <f>B3</f>
        <v>main.go</v>
      </c>
      <c r="B13" s="1" t="str" cm="1">
        <f t="array" ref="B13:B18">gocode_HandleFunc_begin(B12,C12,TRUE)</f>
        <v>mux.HandleFunc("/",home)</v>
      </c>
      <c r="I13" s="4" t="s">
        <v>4</v>
      </c>
      <c r="K13" s="1" t="str">
        <f>B23</f>
        <v xml:space="preserve">  if r.URL.Path != "/snippet" {</v>
      </c>
    </row>
    <row r="14" spans="1:11" x14ac:dyDescent="0.25">
      <c r="A14" s="1" t="str">
        <f>B4</f>
        <v>handlers.go</v>
      </c>
      <c r="B14" s="1" t="str">
        <v>func home(w http.ResponseWriter, r *http.Request){</v>
      </c>
      <c r="K14" s="1" t="str">
        <f>B24</f>
        <v xml:space="preserve">    http.NotFound(w, r)</v>
      </c>
    </row>
    <row r="15" spans="1:11" x14ac:dyDescent="0.25">
      <c r="B15" s="1" t="str">
        <v xml:space="preserve">  if r.URL.Path != "/" {</v>
      </c>
      <c r="K15" s="1" t="str">
        <f>B25</f>
        <v xml:space="preserve">    return</v>
      </c>
    </row>
    <row r="16" spans="1:11" x14ac:dyDescent="0.25">
      <c r="B16" s="1" t="str">
        <v xml:space="preserve">    http.NotFound(w, r)</v>
      </c>
      <c r="K16" s="1" t="str">
        <f>B26</f>
        <v xml:space="preserve">  }</v>
      </c>
    </row>
    <row r="17" spans="1:11" x14ac:dyDescent="0.25">
      <c r="B17" s="1" t="str">
        <v xml:space="preserve">    return</v>
      </c>
      <c r="K17" s="2" t="str" cm="1">
        <f t="array" ref="K17">ind(asgn("id, err",gfc("strconv.Atoi",gocode_url_query_param("id")),":="))</f>
        <v xml:space="preserve">  id, err := strconv.Atoi(r.URL.Query().Get("id"))</v>
      </c>
    </row>
    <row r="18" spans="1:11" x14ac:dyDescent="0.25">
      <c r="B18" s="1" t="str">
        <v xml:space="preserve">  }</v>
      </c>
      <c r="K18" s="1" t="str" cm="1">
        <f t="array" ref="K18">ind(gocode_errhandler_begin("|| id &lt; 1"))</f>
        <v xml:space="preserve">  if err != nil || id &lt; 1 {</v>
      </c>
    </row>
    <row r="19" spans="1:11" x14ac:dyDescent="0.25">
      <c r="K19" s="1" t="s">
        <v>30</v>
      </c>
    </row>
    <row r="20" spans="1:11" x14ac:dyDescent="0.25">
      <c r="B20" s="2" t="s">
        <v>27</v>
      </c>
      <c r="C20" s="2" t="s">
        <v>35</v>
      </c>
      <c r="K20" s="1" t="s">
        <v>31</v>
      </c>
    </row>
    <row r="21" spans="1:11" x14ac:dyDescent="0.25">
      <c r="A21" s="1" t="str">
        <f>B3</f>
        <v>main.go</v>
      </c>
      <c r="B21" s="1" t="str" cm="1">
        <f t="array" ref="B21:B26">gocode_HandleFunc_begin(B20,C20,TRUE)</f>
        <v>mux.HandleFunc("/snippet",showSnippet)</v>
      </c>
      <c r="K21" s="1" t="s">
        <v>32</v>
      </c>
    </row>
    <row r="22" spans="1:11" x14ac:dyDescent="0.25">
      <c r="A22" s="1" t="str">
        <f>B4</f>
        <v>handlers.go</v>
      </c>
      <c r="B22" s="1" t="str">
        <v>func showSnippet(w http.ResponseWriter, r *http.Request){</v>
      </c>
      <c r="K22" s="1" t="str" cm="1">
        <f t="array" ref="K22">ind(gocode_fprintf("w","Display a specific snippet with ID %d…","id"))</f>
        <v xml:space="preserve">  fmt.Fprintf(w, "Display a specific snippet with ID %d…", id)</v>
      </c>
    </row>
    <row r="23" spans="1:11" x14ac:dyDescent="0.25">
      <c r="B23" s="1" t="str">
        <v xml:space="preserve">  if r.URL.Path != "/snippet" {</v>
      </c>
      <c r="K23" s="1" t="s">
        <v>25</v>
      </c>
    </row>
    <row r="24" spans="1:11" x14ac:dyDescent="0.25">
      <c r="B24" s="1" t="str">
        <v xml:space="preserve">    http.NotFound(w, r)</v>
      </c>
    </row>
    <row r="25" spans="1:11" x14ac:dyDescent="0.25">
      <c r="B25" s="1" t="str">
        <v xml:space="preserve">    return</v>
      </c>
      <c r="K25" s="1" t="str">
        <f>B30</f>
        <v>func createSnippet(w http.ResponseWriter, r *http.Request){</v>
      </c>
    </row>
    <row r="26" spans="1:11" x14ac:dyDescent="0.25">
      <c r="B26" s="1" t="str">
        <v xml:space="preserve">  }</v>
      </c>
      <c r="K26" s="1" t="str" cm="1">
        <f t="array" ref="K26:K30">gocode_http_restrict_method("post","  ")</f>
        <v xml:space="preserve">  if r.Method != http.MethodPost {</v>
      </c>
    </row>
    <row r="27" spans="1:11" x14ac:dyDescent="0.25">
      <c r="K27" s="2" t="str">
        <v xml:space="preserve">    w.Header().Set("Allow", http.MethodPost)</v>
      </c>
    </row>
    <row r="28" spans="1:11" x14ac:dyDescent="0.25">
      <c r="B28" s="2" t="s">
        <v>28</v>
      </c>
      <c r="C28" s="2" t="s">
        <v>29</v>
      </c>
      <c r="K28" s="1" t="str">
        <v xml:space="preserve">    http.Error(w, "Method Not Allowed", 405)</v>
      </c>
    </row>
    <row r="29" spans="1:11" x14ac:dyDescent="0.25">
      <c r="A29" s="1" t="str">
        <f>B3</f>
        <v>main.go</v>
      </c>
      <c r="B29" s="1" t="str" cm="1">
        <f t="array" ref="B29:B30">gocode_HandleFunc_begin(B28,C28,FALSE)</f>
        <v>mux.HandleFunc("/snippet/create",createSnippet)</v>
      </c>
      <c r="K29" s="1" t="str">
        <v xml:space="preserve">    return</v>
      </c>
    </row>
    <row r="30" spans="1:11" x14ac:dyDescent="0.25">
      <c r="A30" s="1" t="str">
        <f>B4</f>
        <v>handlers.go</v>
      </c>
      <c r="B30" s="1" t="str">
        <v>func createSnippet(w http.ResponseWriter, r *http.Request){</v>
      </c>
      <c r="K30" s="1" t="str">
        <v xml:space="preserve">  }</v>
      </c>
    </row>
    <row r="31" spans="1:11" x14ac:dyDescent="0.25">
      <c r="K31" s="1" t="str" cm="1">
        <f t="array" ref="K31">ind(gocode_responsewrite("Create a new snippet…"))</f>
        <v xml:space="preserve">  w.Write([]byte("Create a new snippet…"))</v>
      </c>
    </row>
    <row r="32" spans="1:11" x14ac:dyDescent="0.25">
      <c r="K32" s="1" t="s">
        <v>25</v>
      </c>
    </row>
    <row r="33" spans="11:11" x14ac:dyDescent="0.25">
      <c r="K33" s="4" t="s">
        <v>4</v>
      </c>
    </row>
  </sheetData>
  <mergeCells count="1">
    <mergeCell ref="D2:F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02.02</vt:lpstr>
      <vt:lpstr>02.07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2019-12-15T10:49:46Z</dcterms:modified>
</cp:coreProperties>
</file>